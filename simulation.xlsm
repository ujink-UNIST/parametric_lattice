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parametric_lattice\"/>
    </mc:Choice>
  </mc:AlternateContent>
  <xr:revisionPtr revIDLastSave="0" documentId="13_ncr:1_{17951FF9-6B4C-4195-BDE7-D6B399E6FE15}" xr6:coauthVersionLast="47" xr6:coauthVersionMax="47" xr10:uidLastSave="{00000000-0000-0000-0000-000000000000}"/>
  <bookViews>
    <workbookView xWindow="45" yWindow="735" windowWidth="38310" windowHeight="20820" activeTab="2" xr2:uid="{398D889C-A43D-4881-BEA8-39985ED33528}"/>
  </bookViews>
  <sheets>
    <sheet name="Sheet1" sheetId="1" r:id="rId1"/>
    <sheet name="Sheet2" sheetId="2" r:id="rId2"/>
    <sheet name="Sheet3" sheetId="3" r:id="rId3"/>
  </sheets>
  <definedNames>
    <definedName name="status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B19" i="1"/>
  <c r="B14" i="1"/>
  <c r="B6" i="1"/>
  <c r="B7" i="1"/>
  <c r="B8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<sst xmlns="http://schemas.openxmlformats.org/spreadsheetml/2006/main" count="137" uniqueCount="99">
  <si>
    <t>bc</t>
    <phoneticPr fontId="1" type="noConversion"/>
  </si>
  <si>
    <t>BEAM188</t>
    <phoneticPr fontId="1" type="noConversion"/>
  </si>
  <si>
    <t>xx</t>
    <phoneticPr fontId="1" type="noConversion"/>
  </si>
  <si>
    <t>BEAM188</t>
  </si>
  <si>
    <t>index</t>
    <phoneticPr fontId="1" type="noConversion"/>
  </si>
  <si>
    <t>cell_name</t>
    <phoneticPr fontId="1" type="noConversion"/>
  </si>
  <si>
    <t>element_type</t>
    <phoneticPr fontId="1" type="noConversion"/>
  </si>
  <si>
    <t>radius_multiplier</t>
    <phoneticPr fontId="1" type="noConversion"/>
  </si>
  <si>
    <t>max_element_size</t>
    <phoneticPr fontId="1" type="noConversion"/>
  </si>
  <si>
    <t>strain</t>
    <phoneticPr fontId="1" type="noConversion"/>
  </si>
  <si>
    <t>simulation_type</t>
    <phoneticPr fontId="1" type="noConversion"/>
  </si>
  <si>
    <t>substeps</t>
    <phoneticPr fontId="1" type="noConversion"/>
  </si>
  <si>
    <t>elastic_modulus</t>
    <phoneticPr fontId="1" type="noConversion"/>
  </si>
  <si>
    <t>poisson_ratio</t>
    <phoneticPr fontId="1" type="noConversion"/>
  </si>
  <si>
    <t>density</t>
    <phoneticPr fontId="1" type="noConversion"/>
  </si>
  <si>
    <t>kappa</t>
    <phoneticPr fontId="1" type="noConversion"/>
  </si>
  <si>
    <t>hash</t>
    <phoneticPr fontId="1" type="noConversion"/>
  </si>
  <si>
    <t>cell_size_X</t>
    <phoneticPr fontId="1" type="noConversion"/>
  </si>
  <si>
    <t>cell_size_Y</t>
    <phoneticPr fontId="1" type="noConversion"/>
  </si>
  <si>
    <t>cell_size_Z</t>
    <phoneticPr fontId="1" type="noConversion"/>
  </si>
  <si>
    <t>boundary_traction_XX</t>
    <phoneticPr fontId="1" type="noConversion"/>
  </si>
  <si>
    <t>boundary_traction_XY</t>
    <phoneticPr fontId="1" type="noConversion"/>
  </si>
  <si>
    <t>boundary_traction_XZ</t>
    <phoneticPr fontId="1" type="noConversion"/>
  </si>
  <si>
    <t>boundary_traction_YX</t>
    <phoneticPr fontId="1" type="noConversion"/>
  </si>
  <si>
    <t>boundary_traction_YY</t>
    <phoneticPr fontId="1" type="noConversion"/>
  </si>
  <si>
    <t>boundary_traction_YZ</t>
    <phoneticPr fontId="1" type="noConversion"/>
  </si>
  <si>
    <t>boundary_traction_ZX</t>
    <phoneticPr fontId="1" type="noConversion"/>
  </si>
  <si>
    <t>boundary_traction_ZY</t>
    <phoneticPr fontId="1" type="noConversion"/>
  </si>
  <si>
    <t>boundary_traction_ZZ</t>
    <phoneticPr fontId="1" type="noConversion"/>
  </si>
  <si>
    <t>boundary_stress_XX</t>
    <phoneticPr fontId="1" type="noConversion"/>
  </si>
  <si>
    <t>boundary_stress_YY</t>
    <phoneticPr fontId="1" type="noConversion"/>
  </si>
  <si>
    <t>boundary_stress_ZZ</t>
    <phoneticPr fontId="1" type="noConversion"/>
  </si>
  <si>
    <t>boundary_stress_YZ</t>
    <phoneticPr fontId="1" type="noConversion"/>
  </si>
  <si>
    <t>boundary_stress_XZ</t>
    <phoneticPr fontId="1" type="noConversion"/>
  </si>
  <si>
    <t>boundary_stress_XY</t>
    <phoneticPr fontId="1" type="noConversion"/>
  </si>
  <si>
    <t>volume_stress_XX</t>
    <phoneticPr fontId="1" type="noConversion"/>
  </si>
  <si>
    <t>volume_stress_YY</t>
    <phoneticPr fontId="1" type="noConversion"/>
  </si>
  <si>
    <t>volume_stress_ZZ</t>
    <phoneticPr fontId="1" type="noConversion"/>
  </si>
  <si>
    <t>volume_stress_YZ</t>
    <phoneticPr fontId="1" type="noConversion"/>
  </si>
  <si>
    <t>volume_stress_XZ</t>
    <phoneticPr fontId="1" type="noConversion"/>
  </si>
  <si>
    <t>volume_stress_XY</t>
    <phoneticPr fontId="1" type="noConversion"/>
  </si>
  <si>
    <t>joint_area_factor</t>
    <phoneticPr fontId="1" type="noConversion"/>
  </si>
  <si>
    <t>joint_bending_factor</t>
    <phoneticPr fontId="1" type="noConversion"/>
  </si>
  <si>
    <t>joint_torsion_factor</t>
    <phoneticPr fontId="1" type="noConversion"/>
  </si>
  <si>
    <t>joint_length_factor</t>
    <phoneticPr fontId="1" type="noConversion"/>
  </si>
  <si>
    <t>sc</t>
    <phoneticPr fontId="1" type="noConversion"/>
  </si>
  <si>
    <t>sc</t>
    <phoneticPr fontId="1" type="noConversion"/>
  </si>
  <si>
    <t>SOLID187</t>
    <phoneticPr fontId="1" type="noConversion"/>
  </si>
  <si>
    <t>5da01aefbe698dc595a546dcfa87637aaa388c2a1fb43430844659ba16e4c1ff</t>
    <phoneticPr fontId="1" type="noConversion"/>
  </si>
  <si>
    <t>89dbe36cf630253914f21ca7082dfdf0e602aa5e9b1c43ef0812e0c8c3161cd4</t>
    <phoneticPr fontId="1" type="noConversion"/>
  </si>
  <si>
    <t>0224c1e63ded00acb6332ec1cbaa6a4b20471e86253e14a9d512625223391949</t>
  </si>
  <si>
    <t>ee72f7330340c9db5343d5343c2b9cfbdb53e62f8abb652a4ae38e590b83b9aa</t>
  </si>
  <si>
    <t>b37c408ca51937c9466f7e4336ed3da3f73c6d903b4f6cd718cb86133dc88757</t>
  </si>
  <si>
    <t>5da01aefbe698dc595a546dcfa87637aaa388c2a1fb43430844659ba16e4c1ff</t>
    <phoneticPr fontId="1" type="noConversion"/>
  </si>
  <si>
    <t>89dbe36cf630253914f21ca7082dfdf0e602aa5e9b1c43ef0812e0c8c3161cd4</t>
    <phoneticPr fontId="1" type="noConversion"/>
  </si>
  <si>
    <t>88599bd422a35845291648b76c29d497b7b6281fc3c0f70d532f5d51c6217c38</t>
    <phoneticPr fontId="1" type="noConversion"/>
  </si>
  <si>
    <t>0224c1e63ded00acb6332ec1cbaa6a4b20471e86253e14a9d512625223391949</t>
    <phoneticPr fontId="1" type="noConversion"/>
  </si>
  <si>
    <t>ee72f7330340c9db5343d5343c2b9cfbdb53e62f8abb652a4ae38e590b83b9aa</t>
    <phoneticPr fontId="1" type="noConversion"/>
  </si>
  <si>
    <t>9ce28fc3ead04939e469eb9a58199b31729715e0dfc866e3ca039bb4f8de8957</t>
  </si>
  <si>
    <t>9ce28fc3ead04939e469eb9a58199b31729715e0dfc866e3ca039bb4f8de8957</t>
    <phoneticPr fontId="1" type="noConversion"/>
  </si>
  <si>
    <t>c9714bc28ecdd4bab87cfd2d22acaff3603a11bc06eab1f5ea5be94a384bf994</t>
  </si>
  <si>
    <t>c9714bc28ecdd4bab87cfd2d22acaff3603a11bc06eab1f5ea5be94a384bf994</t>
    <phoneticPr fontId="1" type="noConversion"/>
  </si>
  <si>
    <t>90e34a7d87ca22fb6842223182614fd3b2ab8bff80b60aaddf43e70ed491920f</t>
    <phoneticPr fontId="1" type="noConversion"/>
  </si>
  <si>
    <t>fbe4b3977d0222b2df5403ab885c94377504abca2917ba09a678ff8ab4b13481</t>
    <phoneticPr fontId="1" type="noConversion"/>
  </si>
  <si>
    <t>97684c1a499d9c320ec2e42c71421d61ebd43e0c80ae30927139a2de510f84b0</t>
    <phoneticPr fontId="1" type="noConversion"/>
  </si>
  <si>
    <t>be080ddad9dfe8ccf95ec1ffe9b31a86b9fc01a15fd63328731e9879864ae0b4</t>
    <phoneticPr fontId="1" type="noConversion"/>
  </si>
  <si>
    <t>c7aa2d1a2633c4e36d696a3c8ba9e761043712925a08650f02b804fee2b5f14f</t>
    <phoneticPr fontId="1" type="noConversion"/>
  </si>
  <si>
    <t>90e34a7d87ca22fb6842223182614fd3b2ab8bff80b60aaddf43e70ed491920f</t>
    <phoneticPr fontId="1" type="noConversion"/>
  </si>
  <si>
    <t>fbe4b3977d0222b2df5403ab885c94377504abca2917ba09a678ff8ab4b13481</t>
    <phoneticPr fontId="1" type="noConversion"/>
  </si>
  <si>
    <t>97684c1a499d9c320ec2e42c71421d61ebd43e0c80ae30927139a2de510f84b0</t>
    <phoneticPr fontId="1" type="noConversion"/>
  </si>
  <si>
    <t>be080ddad9dfe8ccf95ec1ffe9b31a86b9fc01a15fd63328731e9879864ae0b4</t>
    <phoneticPr fontId="1" type="noConversion"/>
  </si>
  <si>
    <t>c7aa2d1a2633c4e36d696a3c8ba9e761043712925a08650f02b804fee2b5f14f</t>
    <phoneticPr fontId="1" type="noConversion"/>
  </si>
  <si>
    <t>b37c408ca51937c9466f7e4336ed3da3f73c6d903b4f6cd718cb86133dc88757</t>
    <phoneticPr fontId="1" type="noConversion"/>
  </si>
  <si>
    <t>ce877024adebd6db137c0a78805329d97192befa3ae373c813a4e707a31ac913</t>
    <phoneticPr fontId="1" type="noConversion"/>
  </si>
  <si>
    <t>boundary_force_XX</t>
    <phoneticPr fontId="1" type="noConversion"/>
  </si>
  <si>
    <t>boundary_force_XY</t>
    <phoneticPr fontId="1" type="noConversion"/>
  </si>
  <si>
    <t>boundary_force_XZ</t>
    <phoneticPr fontId="1" type="noConversion"/>
  </si>
  <si>
    <t>boundary_force_YX</t>
    <phoneticPr fontId="1" type="noConversion"/>
  </si>
  <si>
    <t>boundary_force_YY</t>
    <phoneticPr fontId="1" type="noConversion"/>
  </si>
  <si>
    <t>boundary_force_YZ</t>
    <phoneticPr fontId="1" type="noConversion"/>
  </si>
  <si>
    <t>boundary_force_ZX</t>
    <phoneticPr fontId="1" type="noConversion"/>
  </si>
  <si>
    <t>boundary_force_ZY</t>
    <phoneticPr fontId="1" type="noConversion"/>
  </si>
  <si>
    <t>boundary_force_ZZ</t>
    <phoneticPr fontId="1" type="noConversion"/>
  </si>
  <si>
    <t>boundary_moment_XX</t>
  </si>
  <si>
    <t>boundary_moment_XY</t>
  </si>
  <si>
    <t>boundary_moment_XZ</t>
  </si>
  <si>
    <t>boundary_moment_YX</t>
  </si>
  <si>
    <t>boundary_moment_YY</t>
  </si>
  <si>
    <t>boundary_moment_YZ</t>
  </si>
  <si>
    <t>boundary_moment_ZX</t>
  </si>
  <si>
    <t>boundary_moment_ZY</t>
  </si>
  <si>
    <t>boundary_moment_ZZ</t>
  </si>
  <si>
    <t>ce877024adebd6db137c0a78805329d97192befa3ae373c813a4e707a31ac913</t>
    <phoneticPr fontId="1" type="noConversion"/>
  </si>
  <si>
    <t>lgf</t>
    <phoneticPr fontId="1" type="noConversion"/>
  </si>
  <si>
    <t>artifacts</t>
    <phoneticPr fontId="1" type="noConversion"/>
  </si>
  <si>
    <t>results</t>
    <phoneticPr fontId="1" type="noConversion"/>
  </si>
  <si>
    <t>C:\Users\USER\Documents\parametric_lattice\lgf</t>
  </si>
  <si>
    <t>C:\Users\USER\Documents\parametric_lattice\artifacts</t>
  </si>
  <si>
    <t>C:\Users\USER\Documents\parametric_lattice\results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</si>
</sst>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&quot;*****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textRotation="18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textRotation="180" wrapText="1"/>
    </xf>
    <xf numFmtId="0" fontId="0" fillId="0" borderId="0" xfId="0" applyAlignment="1">
      <alignment vertical="center" textRotation="180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3" fillId="2" borderId="1" xfId="0" applyFont="1" applyFill="1" applyBorder="1" applyAlignment="1">
      <alignment vertical="center" textRotation="180"/>
    </xf>
    <xf numFmtId="0" fontId="3" fillId="2" borderId="2" xfId="0" applyFont="1" applyFill="1" applyBorder="1" applyAlignment="1">
      <alignment vertical="center" textRotation="180"/>
    </xf>
  </cellXfs>
  <cellStyles count="1">
    <cellStyle name="표준" xfId="0" builtinId="0"/>
  </cellStyles>
  <dxfs count="7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</dxf>
    <dxf>
      <numFmt numFmtId="0" formatCode="General"/>
    </dxf>
    <dxf>
      <alignment horizontal="general" vertical="center" textRotation="18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6" formatCode=";;;&quot;*****&quot;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general" vertical="center" textRotation="18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119062</xdr:colOff>
      <xdr:row>17</xdr:row>
      <xdr:rowOff>42862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9218EF-7519-5171-EFF2-7FEEFDE9586F}"/>
            </a:ext>
          </a:extLst>
        </xdr:cNvPr>
        <xdr:cNvSpPr txBox="1"/>
      </xdr:nvSpPr>
      <xdr:spPr>
        <a:xfrm>
          <a:off x="4471987" y="29765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209550</xdr:rowOff>
        </xdr:from>
        <xdr:to>
          <xdr:col>3</xdr:col>
          <xdr:colOff>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0</xdr:rowOff>
        </xdr:from>
        <xdr:to>
          <xdr:col>14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Lattice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</xdr:row>
          <xdr:rowOff>0</xdr:rowOff>
        </xdr:from>
        <xdr:to>
          <xdr:col>18</xdr:col>
          <xdr:colOff>47625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Case Artifact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685800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Selected Post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248BB-DB9C-4B7F-9AB7-26DC15C5E3FF}" name="t_input" displayName="t_input" ref="B5:U19" headerRowDxfId="69" headerRowCellStyle="표준" dataCellStyle="표준">
  <autoFilter ref="B5:U19" xr:uid="{9FC248BB-DB9C-4B7F-9AB7-26DC15C5E3FF}"/>
  <tableColumns count="20">
    <tableColumn id="1" xr3:uid="{38087172-54C6-4F67-8ADA-1360EE1F245A}" name="index" totalsRowLabel="요약" totalsRowDxfId="68" dataCellStyle="표준">
      <calculatedColumnFormula>ROW()-5</calculatedColumnFormula>
    </tableColumn>
    <tableColumn id="17" xr3:uid="{A7DA7EB8-674D-4283-9D36-B30B71739D5D}" name="hash" totalsRowFunction="count" dataDxfId="67" totalsRowDxfId="66" dataCellStyle="표준"/>
    <tableColumn id="2" xr3:uid="{E36B6051-6A2B-4B90-A9F6-938834F81DDD}" name="cell_name" totalsRowDxfId="65" dataCellStyle="표준"/>
    <tableColumn id="3" xr3:uid="{3B4478CA-78A5-4C31-98F3-727BEEC34C77}" name="element_type" totalsRowDxfId="64" dataCellStyle="표준"/>
    <tableColumn id="4" xr3:uid="{2B4877C0-FB07-4596-928B-1F68AE0DF535}" name="cell_size_X" totalsRowDxfId="63" dataCellStyle="표준"/>
    <tableColumn id="5" xr3:uid="{F0EBA030-0466-4D87-9D5F-F3EAEB34D67B}" name="cell_size_Y" totalsRowDxfId="62" dataCellStyle="표준"/>
    <tableColumn id="10" xr3:uid="{82775151-E185-4D32-80CA-C6D8D54C6255}" name="cell_size_Z" totalsRowDxfId="61" dataCellStyle="표준"/>
    <tableColumn id="6" xr3:uid="{958BCF1B-FB15-435C-A834-E7C66CD2E91D}" name="radius_multiplier" totalsRowDxfId="60" dataCellStyle="표준"/>
    <tableColumn id="13" xr3:uid="{6DB0F02D-BC89-4B3E-9580-CC73C0829A22}" name="joint_area_factor" dataDxfId="59" totalsRowDxfId="58" dataCellStyle="표준"/>
    <tableColumn id="20" xr3:uid="{A24718B5-8830-4B8D-B513-37B7219EF696}" name="joint_length_factor" dataDxfId="57" totalsRowDxfId="56" dataCellStyle="표준"/>
    <tableColumn id="16" xr3:uid="{BB9328D8-7F2C-4A18-9468-CF03AE9A75EF}" name="joint_bending_factor" dataDxfId="55" totalsRowDxfId="54" dataCellStyle="표준"/>
    <tableColumn id="19" xr3:uid="{592808A8-52E4-418B-8CBE-5CE18C8F39E0}" name="joint_torsion_factor" dataDxfId="53" totalsRowDxfId="52" dataCellStyle="표준"/>
    <tableColumn id="7" xr3:uid="{D2CAB588-5BC1-4824-B155-80C66F1A892C}" name="max_element_size" totalsRowDxfId="51" dataCellStyle="표준"/>
    <tableColumn id="11" xr3:uid="{58141FE6-C94D-4606-B945-78B334F002A7}" name="strain" totalsRowDxfId="50" dataCellStyle="표준"/>
    <tableColumn id="8" xr3:uid="{B6CA9001-DAB7-4B59-86A8-BA271CECA7E2}" name="simulation_type" totalsRowDxfId="49" dataCellStyle="표준"/>
    <tableColumn id="9" xr3:uid="{217D38F5-F85A-4274-9C35-BE7E59C2FA73}" name="substeps" totalsRowDxfId="48" dataCellStyle="표준"/>
    <tableColumn id="12" xr3:uid="{85529AB5-43E4-4D6C-8615-298E1BEAD8F0}" name="elastic_modulus" totalsRowDxfId="47" dataCellStyle="표준"/>
    <tableColumn id="18" xr3:uid="{2C84E076-F79B-4036-8D25-3D37DC527D81}" name="poisson_ratio" dataDxfId="46" totalsRowDxfId="45" dataCellStyle="표준"/>
    <tableColumn id="14" xr3:uid="{BB1FC3DE-3D62-491F-A249-ED4E9465B4E0}" name="density" totalsRowDxfId="44" dataCellStyle="표준"/>
    <tableColumn id="15" xr3:uid="{767257E3-02AC-4E6F-AD6D-087D90C97C9C}" name="kappa" totalsRowDxfId="43" dataCellStyle="표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43D302-0383-4FC7-AA88-E0B4BE1BD812}" name="t_output" displayName="t_output" ref="B2:AP16" totalsRowShown="0" headerRowDxfId="42" dataDxfId="41">
  <autoFilter ref="B2:AP16" xr:uid="{6243D302-0383-4FC7-AA88-E0B4BE1BD812}"/>
  <tableColumns count="41">
    <tableColumn id="1" xr3:uid="{312F075B-486F-4211-9066-569BC2EA9C85}" name="index" dataDxfId="40">
      <calculatedColumnFormula>ROW()-2</calculatedColumnFormula>
    </tableColumn>
    <tableColumn id="2" xr3:uid="{114235DF-50D2-4F84-B2FE-107688409A21}" name="hash" dataDxfId="39"/>
    <tableColumn id="3" xr3:uid="{7842F8B7-3ED7-4F2F-9A8C-0C1E3714E710}" name="boundary_traction_XX" dataDxfId="38"/>
    <tableColumn id="4" xr3:uid="{19B8EBC4-C757-47A3-8D2A-9E940CA9E6DE}" name="boundary_traction_XY" dataDxfId="37"/>
    <tableColumn id="5" xr3:uid="{AC6BFF68-3490-4155-8BBE-F1B9C068897E}" name="boundary_traction_XZ" dataDxfId="36"/>
    <tableColumn id="6" xr3:uid="{86705C6C-4EE8-4F7B-AEDE-AA3937F28A41}" name="boundary_traction_YX" dataDxfId="35"/>
    <tableColumn id="7" xr3:uid="{D51E8B50-EA30-4262-95C6-F12948427341}" name="boundary_traction_YY" dataDxfId="34"/>
    <tableColumn id="8" xr3:uid="{92974E17-BCDC-44EC-AC58-3D3D2E9F95B1}" name="boundary_traction_YZ" dataDxfId="33"/>
    <tableColumn id="9" xr3:uid="{0490B37F-11C7-4865-888D-3EE690484287}" name="boundary_traction_ZX" dataDxfId="32"/>
    <tableColumn id="10" xr3:uid="{378E1950-0712-4594-8657-C9AF05B327DD}" name="boundary_traction_ZY" dataDxfId="31"/>
    <tableColumn id="11" xr3:uid="{E1CA10FF-4E7C-4ECC-B703-2095D7169DEA}" name="boundary_traction_ZZ" dataDxfId="30"/>
    <tableColumn id="12" xr3:uid="{694DFA29-36E1-44E6-A9A7-C67A7BF770BC}" name="boundary_stress_XX" dataDxfId="29"/>
    <tableColumn id="13" xr3:uid="{7F834F14-17EF-432D-89F0-B8B06E263794}" name="boundary_stress_YY" dataDxfId="28"/>
    <tableColumn id="14" xr3:uid="{DCD524E6-F6FA-405B-B92B-D266D97CC7F1}" name="boundary_stress_ZZ" dataDxfId="27"/>
    <tableColumn id="15" xr3:uid="{F6C51898-1FFF-4469-A59B-1ED1926C967B}" name="boundary_stress_YZ" dataDxfId="26"/>
    <tableColumn id="16" xr3:uid="{321FDEA6-54AE-49D0-A5FF-8B8F464CA7AA}" name="boundary_stress_XZ" dataDxfId="25"/>
    <tableColumn id="17" xr3:uid="{075E3112-7DAE-41AF-B342-217608646666}" name="boundary_stress_XY" dataDxfId="24"/>
    <tableColumn id="18" xr3:uid="{65253130-154C-48B9-97D0-7CA9AA7B95CD}" name="volume_stress_XX" dataDxfId="23"/>
    <tableColumn id="19" xr3:uid="{3D57023A-28E1-4879-9A0D-F99995D12BA1}" name="volume_stress_YY" dataDxfId="22"/>
    <tableColumn id="20" xr3:uid="{FA118812-BAB9-45B8-B067-22F7AEAB93D9}" name="volume_stress_ZZ" dataDxfId="21"/>
    <tableColumn id="21" xr3:uid="{5644357F-0D34-44AB-8280-364DF7A8DF32}" name="volume_stress_YZ" dataDxfId="20"/>
    <tableColumn id="22" xr3:uid="{14794109-C568-4739-9AE0-3EE6FB0E1E56}" name="volume_stress_XZ" dataDxfId="19"/>
    <tableColumn id="23" xr3:uid="{41FB8BF3-57A5-4D23-9C09-78099AF8BA50}" name="volume_stress_XY" dataDxfId="18"/>
    <tableColumn id="24" xr3:uid="{B24B8E5B-7B4C-4E1B-A250-4C15DAF81044}" name="boundary_force_XX" dataDxfId="17"/>
    <tableColumn id="25" xr3:uid="{92A8611A-1E5C-436B-BE66-FEBA335A7908}" name="boundary_force_XY" dataDxfId="16"/>
    <tableColumn id="26" xr3:uid="{87D04D6E-55F5-413C-9A81-50284A173895}" name="boundary_force_XZ" dataDxfId="15"/>
    <tableColumn id="27" xr3:uid="{3155C5E1-CD2A-484B-8BE7-F8CD00BF6B7B}" name="boundary_force_YX" dataDxfId="14"/>
    <tableColumn id="28" xr3:uid="{DE88F55D-2B55-4402-8EF2-4310D1DFE4D4}" name="boundary_force_YY" dataDxfId="13"/>
    <tableColumn id="29" xr3:uid="{32A825C1-039D-4F35-BE1C-9A5375AC4D39}" name="boundary_force_YZ" dataDxfId="12"/>
    <tableColumn id="30" xr3:uid="{F36EA104-EA4E-4F72-BDF9-42763639C7A9}" name="boundary_force_ZX" dataDxfId="11"/>
    <tableColumn id="31" xr3:uid="{C622309D-26F5-49CB-828E-FBDE65FAA7D4}" name="boundary_force_ZY" dataDxfId="10"/>
    <tableColumn id="32" xr3:uid="{FD3CDB9C-B1A7-45AF-9EA9-B6E81925FD44}" name="boundary_force_ZZ" dataDxfId="9"/>
    <tableColumn id="33" xr3:uid="{90166946-02BF-42ED-AF99-D78E73D3EBC7}" name="boundary_moment_XX" dataDxfId="8"/>
    <tableColumn id="34" xr3:uid="{991683E1-EA87-4D7F-8D66-07EA4E30C202}" name="boundary_moment_XY" dataDxfId="7"/>
    <tableColumn id="35" xr3:uid="{65017FC5-9DDB-4F5F-AFD1-4FA1F5F6F253}" name="boundary_moment_XZ" dataDxfId="6"/>
    <tableColumn id="36" xr3:uid="{0A2B3BC3-9BE4-4BAA-9391-5F0ED3358A7D}" name="boundary_moment_YX" dataDxfId="5"/>
    <tableColumn id="37" xr3:uid="{D54E35C2-110E-47CE-87DF-1528F7181719}" name="boundary_moment_YY" dataDxfId="4"/>
    <tableColumn id="38" xr3:uid="{29115630-54EC-441F-BDC4-2FB955BA2F93}" name="boundary_moment_YZ" dataDxfId="3"/>
    <tableColumn id="39" xr3:uid="{146AC27D-A38A-4D0E-8081-824176BA4F95}" name="boundary_moment_ZX" dataDxfId="2"/>
    <tableColumn id="40" xr3:uid="{AC69DDA7-F02A-4B1E-B57E-27A3D7385631}" name="boundary_moment_ZY" dataDxfId="1"/>
    <tableColumn id="41" xr3:uid="{83B13E4B-4F5F-4F26-8832-9FD63FE5A268}" name="boundary_moment_ZZ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D9AC4D-C820-46E7-B5B6-E3DC64695F97}" name="t_config" displayName="t_config" ref="B2:D3" totalsRowShown="0">
  <autoFilter ref="B2:D3" xr:uid="{48D9AC4D-C820-46E7-B5B6-E3DC64695F97}"/>
  <tableColumns count="3">
    <tableColumn id="1" xr3:uid="{BCD73095-3B55-48F4-94E7-6F8326044DDE}" name="lgf"/>
    <tableColumn id="2" xr3:uid="{6BB790DE-B1FF-4C7A-A02A-3F3FDFA9ADDC}" name="artifacts"/>
    <tableColumn id="3" xr3:uid="{1AF7A7E1-9A5D-4E80-B688-2D13F85DDE0E}" name="resul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059CE-5B99-4F86-9DFB-C1C16367DCFD}">
  <sheetPr codeName="Sheet1"/>
  <dimension ref="A5:DH78"/>
  <sheetViews>
    <sheetView zoomScaleNormal="100" workbookViewId="0">
      <selection activeCell="V26" sqref="V26"/>
    </sheetView>
  </sheetViews>
  <sheetFormatPr defaultRowHeight="16.5" x14ac:dyDescent="0.3"/>
  <cols>
    <col min="1" max="1" width="3.125" customWidth="1"/>
    <col min="2" max="2" width="9.125" bestFit="1" customWidth="1"/>
    <col min="5" max="8" width="9.125" bestFit="1" customWidth="1"/>
    <col min="9" max="9" width="9.375" bestFit="1" customWidth="1"/>
    <col min="10" max="10" width="9.125" bestFit="1" customWidth="1"/>
    <col min="12" max="12" width="9.375" bestFit="1" customWidth="1"/>
    <col min="13" max="13" width="9.125" bestFit="1" customWidth="1"/>
    <col min="14" max="14" width="10.625" bestFit="1" customWidth="1"/>
    <col min="15" max="15" width="9.125" bestFit="1" customWidth="1"/>
    <col min="17" max="17" width="9" customWidth="1"/>
  </cols>
  <sheetData>
    <row r="5" spans="1:112" ht="108" x14ac:dyDescent="0.3">
      <c r="B5" s="4" t="s">
        <v>4</v>
      </c>
      <c r="C5" s="4" t="s">
        <v>16</v>
      </c>
      <c r="D5" s="4" t="s">
        <v>5</v>
      </c>
      <c r="E5" s="4" t="s">
        <v>6</v>
      </c>
      <c r="F5" s="4" t="s">
        <v>17</v>
      </c>
      <c r="G5" s="4" t="s">
        <v>18</v>
      </c>
      <c r="H5" s="4" t="s">
        <v>19</v>
      </c>
      <c r="I5" s="4" t="s">
        <v>7</v>
      </c>
      <c r="J5" s="4" t="s">
        <v>41</v>
      </c>
      <c r="K5" s="4" t="s">
        <v>44</v>
      </c>
      <c r="L5" s="4" t="s">
        <v>42</v>
      </c>
      <c r="M5" s="4" t="s">
        <v>43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AR5" s="1"/>
      <c r="AS5" s="1"/>
      <c r="AT5" s="1"/>
      <c r="AU5" s="1"/>
      <c r="AV5" s="1"/>
      <c r="AW5" s="1"/>
      <c r="AX5" s="3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</row>
    <row r="6" spans="1:112" x14ac:dyDescent="0.3">
      <c r="A6" s="5"/>
      <c r="B6">
        <f t="shared" ref="B6:B13" si="0">ROW()-5</f>
        <v>1</v>
      </c>
      <c r="C6" s="6" t="s">
        <v>62</v>
      </c>
      <c r="D6" t="s">
        <v>45</v>
      </c>
      <c r="E6" t="s">
        <v>47</v>
      </c>
      <c r="F6">
        <v>10</v>
      </c>
      <c r="G6">
        <v>10</v>
      </c>
      <c r="H6">
        <v>10</v>
      </c>
      <c r="I6">
        <v>1</v>
      </c>
      <c r="J6">
        <v>4</v>
      </c>
      <c r="K6">
        <v>2</v>
      </c>
      <c r="L6">
        <v>10000</v>
      </c>
      <c r="M6">
        <v>10000</v>
      </c>
      <c r="N6">
        <v>1</v>
      </c>
      <c r="O6">
        <v>0.01</v>
      </c>
      <c r="P6" t="s">
        <v>2</v>
      </c>
      <c r="Q6">
        <v>1</v>
      </c>
      <c r="R6">
        <v>200000</v>
      </c>
      <c r="S6">
        <v>0.3</v>
      </c>
      <c r="T6">
        <v>7.8500000000000008E-9</v>
      </c>
      <c r="U6">
        <v>0.9</v>
      </c>
    </row>
    <row r="7" spans="1:112" x14ac:dyDescent="0.3">
      <c r="B7">
        <f t="shared" si="0"/>
        <v>2</v>
      </c>
      <c r="C7" s="6" t="s">
        <v>63</v>
      </c>
      <c r="D7" t="s">
        <v>45</v>
      </c>
      <c r="E7" t="s">
        <v>47</v>
      </c>
      <c r="F7">
        <v>10</v>
      </c>
      <c r="G7">
        <v>10</v>
      </c>
      <c r="H7">
        <v>10</v>
      </c>
      <c r="I7">
        <v>1</v>
      </c>
      <c r="J7">
        <v>4</v>
      </c>
      <c r="K7">
        <v>2</v>
      </c>
      <c r="L7">
        <v>10000</v>
      </c>
      <c r="M7">
        <v>10000</v>
      </c>
      <c r="N7">
        <v>0.8</v>
      </c>
      <c r="O7">
        <v>0.01</v>
      </c>
      <c r="P7" t="s">
        <v>2</v>
      </c>
      <c r="Q7">
        <v>1</v>
      </c>
      <c r="R7">
        <v>200000</v>
      </c>
      <c r="S7">
        <v>0.3</v>
      </c>
      <c r="T7">
        <v>7.8500000000000008E-9</v>
      </c>
      <c r="U7">
        <v>0.9</v>
      </c>
    </row>
    <row r="8" spans="1:112" x14ac:dyDescent="0.3">
      <c r="B8">
        <f t="shared" si="0"/>
        <v>3</v>
      </c>
      <c r="C8" s="6" t="s">
        <v>64</v>
      </c>
      <c r="D8" t="s">
        <v>46</v>
      </c>
      <c r="E8" t="s">
        <v>47</v>
      </c>
      <c r="F8">
        <v>10</v>
      </c>
      <c r="G8">
        <v>10</v>
      </c>
      <c r="H8">
        <v>10</v>
      </c>
      <c r="I8">
        <v>1</v>
      </c>
      <c r="J8">
        <v>4</v>
      </c>
      <c r="K8">
        <v>2</v>
      </c>
      <c r="L8">
        <v>10000</v>
      </c>
      <c r="M8">
        <v>10000</v>
      </c>
      <c r="N8">
        <v>0.6</v>
      </c>
      <c r="O8">
        <v>0.01</v>
      </c>
      <c r="P8" t="s">
        <v>2</v>
      </c>
      <c r="Q8">
        <v>1</v>
      </c>
      <c r="R8">
        <v>200000</v>
      </c>
      <c r="S8">
        <v>0.3</v>
      </c>
      <c r="T8">
        <v>7.8500000000000008E-9</v>
      </c>
      <c r="U8">
        <v>0.9</v>
      </c>
    </row>
    <row r="9" spans="1:112" x14ac:dyDescent="0.3">
      <c r="B9">
        <f t="shared" si="0"/>
        <v>4</v>
      </c>
      <c r="C9" s="6" t="s">
        <v>65</v>
      </c>
      <c r="D9" t="s">
        <v>46</v>
      </c>
      <c r="E9" t="s">
        <v>47</v>
      </c>
      <c r="F9">
        <v>10</v>
      </c>
      <c r="G9">
        <v>10</v>
      </c>
      <c r="H9">
        <v>10</v>
      </c>
      <c r="I9">
        <v>1</v>
      </c>
      <c r="J9">
        <v>4</v>
      </c>
      <c r="K9">
        <v>2</v>
      </c>
      <c r="L9">
        <v>10000</v>
      </c>
      <c r="M9">
        <v>10000</v>
      </c>
      <c r="N9">
        <v>0.4</v>
      </c>
      <c r="O9">
        <v>0.01</v>
      </c>
      <c r="P9" t="s">
        <v>2</v>
      </c>
      <c r="Q9">
        <v>1</v>
      </c>
      <c r="R9">
        <v>200000</v>
      </c>
      <c r="S9">
        <v>0.3</v>
      </c>
      <c r="T9">
        <v>7.8500000000000008E-9</v>
      </c>
      <c r="U9">
        <v>0.9</v>
      </c>
    </row>
    <row r="10" spans="1:112" x14ac:dyDescent="0.3">
      <c r="B10">
        <f t="shared" si="0"/>
        <v>5</v>
      </c>
      <c r="C10" s="6" t="s">
        <v>48</v>
      </c>
      <c r="D10" t="s">
        <v>45</v>
      </c>
      <c r="E10" t="s">
        <v>47</v>
      </c>
      <c r="F10">
        <v>10</v>
      </c>
      <c r="G10">
        <v>10</v>
      </c>
      <c r="H10">
        <v>10</v>
      </c>
      <c r="I10">
        <v>1</v>
      </c>
      <c r="J10">
        <v>4</v>
      </c>
      <c r="K10">
        <v>2</v>
      </c>
      <c r="L10">
        <v>10000</v>
      </c>
      <c r="M10">
        <v>10000</v>
      </c>
      <c r="N10">
        <v>0.3</v>
      </c>
      <c r="O10">
        <v>0.01</v>
      </c>
      <c r="P10" t="s">
        <v>2</v>
      </c>
      <c r="Q10">
        <v>1</v>
      </c>
      <c r="R10">
        <v>200000</v>
      </c>
      <c r="S10">
        <v>0.3</v>
      </c>
      <c r="T10">
        <v>7.8500000000000008E-9</v>
      </c>
      <c r="U10">
        <v>0.9</v>
      </c>
    </row>
    <row r="11" spans="1:112" x14ac:dyDescent="0.3">
      <c r="B11">
        <f t="shared" si="0"/>
        <v>6</v>
      </c>
      <c r="C11" s="6" t="s">
        <v>66</v>
      </c>
      <c r="D11" t="s">
        <v>45</v>
      </c>
      <c r="E11" t="s">
        <v>47</v>
      </c>
      <c r="F11">
        <v>10</v>
      </c>
      <c r="G11">
        <v>10</v>
      </c>
      <c r="H11">
        <v>10</v>
      </c>
      <c r="I11">
        <v>1</v>
      </c>
      <c r="J11">
        <v>4</v>
      </c>
      <c r="K11">
        <v>2</v>
      </c>
      <c r="L11">
        <v>10000</v>
      </c>
      <c r="M11">
        <v>10000</v>
      </c>
      <c r="N11">
        <v>0.2</v>
      </c>
      <c r="O11">
        <v>0.01</v>
      </c>
      <c r="P11" t="s">
        <v>2</v>
      </c>
      <c r="Q11">
        <v>1</v>
      </c>
      <c r="R11">
        <v>200000</v>
      </c>
      <c r="S11">
        <v>0.3</v>
      </c>
      <c r="T11">
        <v>7.8500000000000008E-9</v>
      </c>
      <c r="U11">
        <v>0.9</v>
      </c>
    </row>
    <row r="12" spans="1:112" x14ac:dyDescent="0.3">
      <c r="B12">
        <f t="shared" si="0"/>
        <v>7</v>
      </c>
      <c r="C12" s="6" t="s">
        <v>73</v>
      </c>
      <c r="D12" t="s">
        <v>45</v>
      </c>
      <c r="E12" t="s">
        <v>47</v>
      </c>
      <c r="F12">
        <v>10</v>
      </c>
      <c r="G12">
        <v>10</v>
      </c>
      <c r="H12">
        <v>10</v>
      </c>
      <c r="I12">
        <v>1</v>
      </c>
      <c r="J12">
        <v>4</v>
      </c>
      <c r="K12">
        <v>2</v>
      </c>
      <c r="L12">
        <v>10000</v>
      </c>
      <c r="M12">
        <v>10000</v>
      </c>
      <c r="N12">
        <v>0.1</v>
      </c>
      <c r="O12">
        <v>0.01</v>
      </c>
      <c r="P12" t="s">
        <v>2</v>
      </c>
      <c r="Q12">
        <v>1</v>
      </c>
      <c r="R12">
        <v>200000</v>
      </c>
      <c r="S12">
        <v>0.3</v>
      </c>
      <c r="T12">
        <v>7.8500000000000008E-9</v>
      </c>
      <c r="U12">
        <v>0.9</v>
      </c>
    </row>
    <row r="13" spans="1:112" x14ac:dyDescent="0.3">
      <c r="B13">
        <f t="shared" si="0"/>
        <v>8</v>
      </c>
      <c r="C13" s="6" t="s">
        <v>49</v>
      </c>
      <c r="D13" t="s">
        <v>46</v>
      </c>
      <c r="E13" t="s">
        <v>3</v>
      </c>
      <c r="F13">
        <v>10</v>
      </c>
      <c r="G13">
        <v>10</v>
      </c>
      <c r="H13">
        <v>10</v>
      </c>
      <c r="I13">
        <v>1</v>
      </c>
      <c r="J13">
        <v>4.5</v>
      </c>
      <c r="K13">
        <v>2</v>
      </c>
      <c r="L13">
        <v>10000</v>
      </c>
      <c r="M13">
        <v>10000</v>
      </c>
      <c r="N13">
        <v>0.3</v>
      </c>
      <c r="O13">
        <v>0.01</v>
      </c>
      <c r="P13" t="s">
        <v>2</v>
      </c>
      <c r="Q13">
        <v>1</v>
      </c>
      <c r="R13">
        <v>200000</v>
      </c>
      <c r="S13">
        <v>0.3</v>
      </c>
      <c r="T13">
        <v>7.8500000000000008E-9</v>
      </c>
      <c r="U13">
        <v>0.9</v>
      </c>
    </row>
    <row r="14" spans="1:112" x14ac:dyDescent="0.3">
      <c r="B14">
        <f>ROW()-5</f>
        <v>9</v>
      </c>
      <c r="C14" s="6" t="s">
        <v>55</v>
      </c>
      <c r="D14" t="s">
        <v>46</v>
      </c>
      <c r="E14" t="s">
        <v>3</v>
      </c>
      <c r="F14">
        <v>10</v>
      </c>
      <c r="G14">
        <v>10</v>
      </c>
      <c r="H14">
        <v>10</v>
      </c>
      <c r="I14">
        <v>1</v>
      </c>
      <c r="J14">
        <v>5</v>
      </c>
      <c r="K14">
        <v>2</v>
      </c>
      <c r="L14">
        <v>10000</v>
      </c>
      <c r="M14">
        <v>10000</v>
      </c>
      <c r="N14">
        <v>0.3</v>
      </c>
      <c r="O14">
        <v>0.01</v>
      </c>
      <c r="P14" t="s">
        <v>2</v>
      </c>
      <c r="Q14">
        <v>1</v>
      </c>
      <c r="R14">
        <v>200000</v>
      </c>
      <c r="S14">
        <v>0.3</v>
      </c>
      <c r="T14">
        <v>7.8500000000000008E-9</v>
      </c>
      <c r="U14">
        <v>0.9</v>
      </c>
    </row>
    <row r="15" spans="1:112" x14ac:dyDescent="0.3">
      <c r="B15">
        <f t="shared" ref="B15:B19" si="1">ROW()-5</f>
        <v>10</v>
      </c>
      <c r="C15" s="6" t="s">
        <v>60</v>
      </c>
      <c r="D15" t="s">
        <v>45</v>
      </c>
      <c r="E15" t="s">
        <v>1</v>
      </c>
      <c r="F15">
        <v>10</v>
      </c>
      <c r="G15">
        <v>10</v>
      </c>
      <c r="H15">
        <v>10</v>
      </c>
      <c r="I15">
        <v>1</v>
      </c>
      <c r="J15">
        <v>5.657</v>
      </c>
      <c r="K15">
        <v>2</v>
      </c>
      <c r="L15">
        <v>10000</v>
      </c>
      <c r="M15">
        <v>10000</v>
      </c>
      <c r="N15">
        <v>0.3</v>
      </c>
      <c r="O15">
        <v>0.01</v>
      </c>
      <c r="P15" t="s">
        <v>2</v>
      </c>
      <c r="Q15">
        <v>1</v>
      </c>
      <c r="R15">
        <v>200000</v>
      </c>
      <c r="S15">
        <v>0.3</v>
      </c>
      <c r="T15">
        <v>7.8500000000000008E-9</v>
      </c>
      <c r="U15">
        <v>0.9</v>
      </c>
    </row>
    <row r="16" spans="1:112" x14ac:dyDescent="0.3">
      <c r="B16">
        <f t="shared" si="1"/>
        <v>11</v>
      </c>
      <c r="C16" s="6" t="s">
        <v>58</v>
      </c>
      <c r="D16" t="s">
        <v>45</v>
      </c>
      <c r="E16" t="s">
        <v>1</v>
      </c>
      <c r="F16">
        <v>10</v>
      </c>
      <c r="G16">
        <v>10</v>
      </c>
      <c r="H16">
        <v>10</v>
      </c>
      <c r="I16">
        <v>1</v>
      </c>
      <c r="J16">
        <v>5.8840000000000003</v>
      </c>
      <c r="K16">
        <v>2</v>
      </c>
      <c r="L16">
        <v>10000</v>
      </c>
      <c r="M16">
        <v>10000</v>
      </c>
      <c r="N16">
        <v>0.3</v>
      </c>
      <c r="O16">
        <v>0.01</v>
      </c>
      <c r="P16" t="s">
        <v>2</v>
      </c>
      <c r="Q16">
        <v>1</v>
      </c>
      <c r="R16">
        <v>200000</v>
      </c>
      <c r="S16">
        <v>0.3</v>
      </c>
      <c r="T16">
        <v>7.8500000000000008E-9</v>
      </c>
      <c r="U16">
        <v>0.9</v>
      </c>
    </row>
    <row r="17" spans="2:21" x14ac:dyDescent="0.3">
      <c r="B17">
        <f t="shared" si="1"/>
        <v>12</v>
      </c>
      <c r="C17" s="6" t="s">
        <v>50</v>
      </c>
      <c r="D17" t="s">
        <v>0</v>
      </c>
      <c r="E17" t="s">
        <v>47</v>
      </c>
      <c r="F17">
        <v>10</v>
      </c>
      <c r="G17">
        <v>10</v>
      </c>
      <c r="H17">
        <v>10</v>
      </c>
      <c r="I17">
        <v>1</v>
      </c>
      <c r="J17">
        <v>4</v>
      </c>
      <c r="K17">
        <v>2.7389999999999999</v>
      </c>
      <c r="L17">
        <v>10000</v>
      </c>
      <c r="M17">
        <v>10000</v>
      </c>
      <c r="N17">
        <v>0.3</v>
      </c>
      <c r="O17">
        <v>0.01</v>
      </c>
      <c r="P17" t="s">
        <v>2</v>
      </c>
      <c r="Q17">
        <v>1</v>
      </c>
      <c r="R17">
        <v>200000</v>
      </c>
      <c r="S17">
        <v>0.3</v>
      </c>
      <c r="T17">
        <v>7.8500000000000008E-9</v>
      </c>
      <c r="U17">
        <v>0.9</v>
      </c>
    </row>
    <row r="18" spans="2:21" x14ac:dyDescent="0.3">
      <c r="B18">
        <f t="shared" si="1"/>
        <v>13</v>
      </c>
      <c r="C18" s="6" t="s">
        <v>51</v>
      </c>
      <c r="D18" t="s">
        <v>0</v>
      </c>
      <c r="E18" t="s">
        <v>1</v>
      </c>
      <c r="F18">
        <v>10</v>
      </c>
      <c r="G18">
        <v>10</v>
      </c>
      <c r="H18">
        <v>10</v>
      </c>
      <c r="I18">
        <v>1</v>
      </c>
      <c r="J18">
        <v>4</v>
      </c>
      <c r="K18">
        <v>2.7389999999999999</v>
      </c>
      <c r="L18">
        <v>10000</v>
      </c>
      <c r="M18">
        <v>10000</v>
      </c>
      <c r="N18">
        <v>0.3</v>
      </c>
      <c r="O18">
        <v>0.01</v>
      </c>
      <c r="P18" t="s">
        <v>2</v>
      </c>
      <c r="Q18">
        <v>1</v>
      </c>
      <c r="R18">
        <v>200000</v>
      </c>
      <c r="S18">
        <v>0.3</v>
      </c>
      <c r="T18">
        <v>7.8500000000000008E-9</v>
      </c>
      <c r="U18">
        <v>0.9</v>
      </c>
    </row>
    <row r="19" spans="2:21" x14ac:dyDescent="0.3">
      <c r="B19">
        <f t="shared" si="1"/>
        <v>14</v>
      </c>
      <c r="C19" s="6" t="s">
        <v>52</v>
      </c>
      <c r="D19" t="s">
        <v>0</v>
      </c>
      <c r="E19" t="s">
        <v>1</v>
      </c>
      <c r="F19">
        <v>10</v>
      </c>
      <c r="G19">
        <v>10</v>
      </c>
      <c r="H19">
        <v>10</v>
      </c>
      <c r="I19">
        <v>1</v>
      </c>
      <c r="J19">
        <v>4</v>
      </c>
      <c r="K19">
        <v>2.75</v>
      </c>
      <c r="L19">
        <v>10000</v>
      </c>
      <c r="M19">
        <v>10000</v>
      </c>
      <c r="N19">
        <v>0.3</v>
      </c>
      <c r="O19">
        <v>0.01</v>
      </c>
      <c r="P19" t="s">
        <v>2</v>
      </c>
      <c r="Q19">
        <v>1</v>
      </c>
      <c r="R19">
        <v>200000</v>
      </c>
      <c r="S19">
        <v>0.3</v>
      </c>
      <c r="T19">
        <v>7.8500000000000008E-9</v>
      </c>
      <c r="U19">
        <v>0.9</v>
      </c>
    </row>
    <row r="20" spans="2:21" ht="16.5" customHeight="1" x14ac:dyDescent="0.3">
      <c r="C20" s="6"/>
    </row>
    <row r="21" spans="2:21" x14ac:dyDescent="0.3">
      <c r="C21" s="6"/>
    </row>
    <row r="22" spans="2:21" x14ac:dyDescent="0.3">
      <c r="C22" s="6"/>
    </row>
    <row r="23" spans="2:21" x14ac:dyDescent="0.3">
      <c r="Q23" s="6"/>
    </row>
    <row r="78" spans="34:34" x14ac:dyDescent="0.3">
      <c r="AH78" s="2"/>
    </row>
  </sheetData>
  <protectedRanges>
    <protectedRange sqref="B6:U22" name="범위1"/>
  </protectedRanges>
  <phoneticPr fontId="1" type="noConversion"/>
  <conditionalFormatting sqref="AL7:AL21 AH22:AH110">
    <cfRule type="iconSet" priority="2">
      <iconSet iconSet="3Symbols" showValue="0">
        <cfvo type="percent" val="0"/>
        <cfvo type="num" val="0" gte="0"/>
        <cfvo type="num" val="3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ub_run_selected">
                <anchor moveWithCells="1" sizeWithCells="1">
                  <from>
                    <xdr:col>0</xdr:col>
                    <xdr:colOff>238125</xdr:colOff>
                    <xdr:row>0</xdr:row>
                    <xdr:rowOff>209550</xdr:rowOff>
                  </from>
                  <to>
                    <xdr:col>3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b_run_all">
                <anchor moveWithCells="1" sizeWithCells="1">
                  <from>
                    <xdr:col>7</xdr:col>
                    <xdr:colOff>19050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ub_open_lattice_file">
                <anchor moveWithCells="1" sizeWithCells="1"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14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sub_open_results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ub_open_case_artifacts">
                <anchor moveWithCells="1" sizeWithCells="1">
                  <from>
                    <xdr:col>15</xdr:col>
                    <xdr:colOff>600075</xdr:colOff>
                    <xdr:row>1</xdr:row>
                    <xdr:rowOff>0</xdr:rowOff>
                  </from>
                  <to>
                    <xdr:col>18</xdr:col>
                    <xdr:colOff>47625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sun_run_selected_postprocess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61339-A6D6-4F5F-8C4C-593887644711}">
  <sheetPr codeName="Sheet2"/>
  <dimension ref="B2:AP31"/>
  <sheetViews>
    <sheetView workbookViewId="0">
      <selection activeCell="D29" sqref="D29"/>
    </sheetView>
  </sheetViews>
  <sheetFormatPr defaultRowHeight="16.5" x14ac:dyDescent="0.3"/>
  <cols>
    <col min="1" max="1" width="3.125" customWidth="1"/>
    <col min="2" max="2" width="9.125" bestFit="1" customWidth="1"/>
    <col min="4" max="4" width="12.375" bestFit="1" customWidth="1"/>
    <col min="5" max="6" width="13.125" bestFit="1" customWidth="1"/>
    <col min="7" max="7" width="14" bestFit="1" customWidth="1"/>
    <col min="8" max="8" width="13.125" bestFit="1" customWidth="1"/>
    <col min="9" max="11" width="14" bestFit="1" customWidth="1"/>
    <col min="12" max="12" width="13.125" bestFit="1" customWidth="1"/>
    <col min="25" max="25" width="12.375" bestFit="1" customWidth="1"/>
    <col min="26" max="29" width="13.125" bestFit="1" customWidth="1"/>
    <col min="30" max="30" width="14" bestFit="1" customWidth="1"/>
    <col min="31" max="31" width="13.125" bestFit="1" customWidth="1"/>
    <col min="32" max="32" width="14" bestFit="1" customWidth="1"/>
    <col min="33" max="33" width="13.125" bestFit="1" customWidth="1"/>
    <col min="34" max="35" width="14" bestFit="1" customWidth="1"/>
    <col min="36" max="36" width="13.125" bestFit="1" customWidth="1"/>
    <col min="37" max="37" width="14" bestFit="1" customWidth="1"/>
    <col min="38" max="38" width="11.625" bestFit="1" customWidth="1"/>
    <col min="39" max="39" width="13.125" bestFit="1" customWidth="1"/>
    <col min="40" max="41" width="14" bestFit="1" customWidth="1"/>
    <col min="42" max="42" width="10.75" bestFit="1" customWidth="1"/>
  </cols>
  <sheetData>
    <row r="2" spans="2:42" ht="124.5" x14ac:dyDescent="0.3">
      <c r="B2" s="4" t="s">
        <v>4</v>
      </c>
      <c r="C2" s="4" t="s">
        <v>16</v>
      </c>
      <c r="D2" s="4" t="s">
        <v>20</v>
      </c>
      <c r="E2" s="4" t="s">
        <v>21</v>
      </c>
      <c r="F2" s="4" t="s">
        <v>22</v>
      </c>
      <c r="G2" s="4" t="s">
        <v>23</v>
      </c>
      <c r="H2" s="4" t="s">
        <v>24</v>
      </c>
      <c r="I2" s="4" t="s">
        <v>25</v>
      </c>
      <c r="J2" s="4" t="s">
        <v>26</v>
      </c>
      <c r="K2" s="4" t="s">
        <v>27</v>
      </c>
      <c r="L2" s="4" t="s">
        <v>28</v>
      </c>
      <c r="M2" s="4" t="s">
        <v>29</v>
      </c>
      <c r="N2" s="4" t="s">
        <v>30</v>
      </c>
      <c r="O2" s="4" t="s">
        <v>31</v>
      </c>
      <c r="P2" s="4" t="s">
        <v>32</v>
      </c>
      <c r="Q2" s="4" t="s">
        <v>33</v>
      </c>
      <c r="R2" s="4" t="s">
        <v>34</v>
      </c>
      <c r="S2" s="4" t="s">
        <v>35</v>
      </c>
      <c r="T2" s="4" t="s">
        <v>36</v>
      </c>
      <c r="U2" s="4" t="s">
        <v>37</v>
      </c>
      <c r="V2" s="4" t="s">
        <v>38</v>
      </c>
      <c r="W2" s="4" t="s">
        <v>39</v>
      </c>
      <c r="X2" s="4" t="s">
        <v>40</v>
      </c>
      <c r="Y2" s="4" t="s">
        <v>74</v>
      </c>
      <c r="Z2" s="4" t="s">
        <v>75</v>
      </c>
      <c r="AA2" s="4" t="s">
        <v>76</v>
      </c>
      <c r="AB2" s="4" t="s">
        <v>77</v>
      </c>
      <c r="AC2" s="4" t="s">
        <v>78</v>
      </c>
      <c r="AD2" s="4" t="s">
        <v>79</v>
      </c>
      <c r="AE2" s="4" t="s">
        <v>80</v>
      </c>
      <c r="AF2" s="4" t="s">
        <v>81</v>
      </c>
      <c r="AG2" s="4" t="s">
        <v>82</v>
      </c>
      <c r="AH2" s="7" t="s">
        <v>83</v>
      </c>
      <c r="AI2" s="7" t="s">
        <v>84</v>
      </c>
      <c r="AJ2" s="7" t="s">
        <v>85</v>
      </c>
      <c r="AK2" s="7" t="s">
        <v>86</v>
      </c>
      <c r="AL2" s="7" t="s">
        <v>87</v>
      </c>
      <c r="AM2" s="7" t="s">
        <v>88</v>
      </c>
      <c r="AN2" s="7" t="s">
        <v>89</v>
      </c>
      <c r="AO2" s="7" t="s">
        <v>90</v>
      </c>
      <c r="AP2" s="8" t="s">
        <v>91</v>
      </c>
    </row>
    <row r="3" spans="2:42" x14ac:dyDescent="0.3">
      <c r="B3">
        <v>1</v>
      </c>
      <c r="C3" t="s">
        <v>67</v>
      </c>
      <c r="D3">
        <v>-349.98531533200003</v>
      </c>
      <c r="E3">
        <v>2.2441148757899999E-7</v>
      </c>
      <c r="F3">
        <v>9.9420081824100009E-7</v>
      </c>
      <c r="G3">
        <v>2.1304469555599999E-7</v>
      </c>
      <c r="H3">
        <v>-130.47933422</v>
      </c>
      <c r="I3">
        <v>2.4719925555400001E-2</v>
      </c>
      <c r="J3">
        <v>4.9294903874400005E-7</v>
      </c>
      <c r="K3">
        <v>2.2758435392800001E-2</v>
      </c>
      <c r="L3">
        <v>-130.47914131499999</v>
      </c>
      <c r="Y3">
        <v>-34998.531533200003</v>
      </c>
      <c r="Z3">
        <v>2.1304469555600001E-5</v>
      </c>
      <c r="AA3">
        <v>4.9294903874400002E-5</v>
      </c>
      <c r="AB3">
        <v>2.2441148757900001E-5</v>
      </c>
      <c r="AC3">
        <v>-13047.933422</v>
      </c>
      <c r="AD3">
        <v>2.2758435392799998</v>
      </c>
      <c r="AE3">
        <v>9.9420081824100006E-5</v>
      </c>
      <c r="AF3">
        <v>2.47199255554</v>
      </c>
      <c r="AG3">
        <v>-13047.9141315</v>
      </c>
      <c r="AH3">
        <v>-4.44799195954E-4</v>
      </c>
      <c r="AI3">
        <v>-522.13899563099994</v>
      </c>
      <c r="AJ3">
        <v>568.34187290399996</v>
      </c>
      <c r="AK3">
        <v>119.772946448</v>
      </c>
      <c r="AL3">
        <v>-9.2795584373599996E-4</v>
      </c>
      <c r="AM3">
        <v>-193.33413128199999</v>
      </c>
      <c r="AN3">
        <v>-245.27929471900001</v>
      </c>
      <c r="AO3">
        <v>-100.50247864000001</v>
      </c>
      <c r="AP3">
        <v>3.6652805260900003E-4</v>
      </c>
    </row>
    <row r="4" spans="2:42" x14ac:dyDescent="0.3">
      <c r="B4">
        <v>2</v>
      </c>
      <c r="C4" t="s">
        <v>68</v>
      </c>
      <c r="D4">
        <v>-349.640194646</v>
      </c>
      <c r="E4">
        <v>0.11746102047900001</v>
      </c>
      <c r="F4">
        <v>1.06262342632E-2</v>
      </c>
      <c r="G4">
        <v>9.0202417466799995E-2</v>
      </c>
      <c r="H4">
        <v>-129.23669874699999</v>
      </c>
      <c r="I4">
        <v>-6.07148975134E-3</v>
      </c>
      <c r="J4">
        <v>-7.5267938617599997E-3</v>
      </c>
      <c r="K4">
        <v>3.3964400388100002E-2</v>
      </c>
      <c r="L4">
        <v>-129.27702793700001</v>
      </c>
      <c r="Y4">
        <v>-34964.019464600002</v>
      </c>
      <c r="Z4">
        <v>9.02024174668</v>
      </c>
      <c r="AA4">
        <v>-0.75267938617600005</v>
      </c>
      <c r="AB4">
        <v>11.746102047899999</v>
      </c>
      <c r="AC4">
        <v>-12923.669874699999</v>
      </c>
      <c r="AD4">
        <v>3.3964400388099998</v>
      </c>
      <c r="AE4">
        <v>1.0626234263200001</v>
      </c>
      <c r="AF4">
        <v>-0.60714897513400001</v>
      </c>
      <c r="AG4">
        <v>-12927.7027937</v>
      </c>
      <c r="AH4">
        <v>-75.392630677400007</v>
      </c>
      <c r="AI4">
        <v>63.522380178600002</v>
      </c>
      <c r="AJ4">
        <v>35.684396142300002</v>
      </c>
      <c r="AK4">
        <v>-26.553314436400001</v>
      </c>
      <c r="AL4">
        <v>27.4356624823</v>
      </c>
      <c r="AM4">
        <v>22.331600492300002</v>
      </c>
      <c r="AN4">
        <v>-15.078500393800001</v>
      </c>
      <c r="AO4">
        <v>18.499658521499999</v>
      </c>
      <c r="AP4">
        <v>34.4115435406</v>
      </c>
    </row>
    <row r="5" spans="2:42" x14ac:dyDescent="0.3">
      <c r="B5">
        <v>3</v>
      </c>
      <c r="C5" t="s">
        <v>69</v>
      </c>
      <c r="D5">
        <v>-351.55493049400002</v>
      </c>
      <c r="E5">
        <v>1.5422817554799999E-2</v>
      </c>
      <c r="F5">
        <v>5.93682079256E-3</v>
      </c>
      <c r="G5">
        <v>2.12694580972E-2</v>
      </c>
      <c r="H5">
        <v>-129.43069610200001</v>
      </c>
      <c r="I5">
        <v>-2.49336311524E-2</v>
      </c>
      <c r="J5">
        <v>-3.2986434130000001E-3</v>
      </c>
      <c r="K5">
        <v>4.2343498323999997E-3</v>
      </c>
      <c r="L5">
        <v>-126.633791153</v>
      </c>
      <c r="Y5">
        <v>-35155.4930494</v>
      </c>
      <c r="Z5">
        <v>2.12694580972</v>
      </c>
      <c r="AA5">
        <v>-0.32986434129999997</v>
      </c>
      <c r="AB5">
        <v>1.5422817554799999</v>
      </c>
      <c r="AC5">
        <v>-12943.0696102</v>
      </c>
      <c r="AD5">
        <v>0.42343498324000001</v>
      </c>
      <c r="AE5">
        <v>0.59368207925600003</v>
      </c>
      <c r="AF5">
        <v>-2.4933631152400002</v>
      </c>
      <c r="AG5">
        <v>-12663.3791153</v>
      </c>
      <c r="AH5">
        <v>-3.35892770879</v>
      </c>
      <c r="AI5">
        <v>111.601705635</v>
      </c>
      <c r="AJ5">
        <v>-131.549406226</v>
      </c>
      <c r="AK5">
        <v>33.153547082000003</v>
      </c>
      <c r="AL5">
        <v>-14.9293935056</v>
      </c>
      <c r="AM5">
        <v>48.433972595500002</v>
      </c>
      <c r="AN5">
        <v>-49.302052773900002</v>
      </c>
      <c r="AO5">
        <v>36.227516113900002</v>
      </c>
      <c r="AP5">
        <v>-2.5000386765</v>
      </c>
    </row>
    <row r="6" spans="2:42" x14ac:dyDescent="0.3">
      <c r="B6">
        <v>4</v>
      </c>
      <c r="C6" t="s">
        <v>70</v>
      </c>
      <c r="D6">
        <v>-373.30078093100002</v>
      </c>
      <c r="E6">
        <v>2.0740491057400001E-2</v>
      </c>
      <c r="F6">
        <v>-2.63060228203E-2</v>
      </c>
      <c r="G6">
        <v>1.02890811075E-2</v>
      </c>
      <c r="H6">
        <v>-147.29512901300001</v>
      </c>
      <c r="I6">
        <v>1.62037365579E-2</v>
      </c>
      <c r="J6">
        <v>2.4198085521100001E-2</v>
      </c>
      <c r="K6">
        <v>1.6169794925400001E-2</v>
      </c>
      <c r="L6">
        <v>-147.16434259100001</v>
      </c>
      <c r="Y6">
        <v>-37330.078093099997</v>
      </c>
      <c r="Z6">
        <v>1.02890811075</v>
      </c>
      <c r="AA6">
        <v>2.4198085521100001</v>
      </c>
      <c r="AB6">
        <v>2.0740491057399999</v>
      </c>
      <c r="AC6">
        <v>-14729.512901300001</v>
      </c>
      <c r="AD6">
        <v>1.6169794925400001</v>
      </c>
      <c r="AE6">
        <v>-2.6306022820299999</v>
      </c>
      <c r="AF6">
        <v>1.6203736557899999</v>
      </c>
      <c r="AG6">
        <v>-14716.4342591</v>
      </c>
      <c r="AH6">
        <v>7.0039410338500003</v>
      </c>
      <c r="AI6">
        <v>14.891047973299999</v>
      </c>
      <c r="AJ6">
        <v>-26.349317840699999</v>
      </c>
      <c r="AK6">
        <v>-4.0489459559099998</v>
      </c>
      <c r="AL6">
        <v>3.3060395311200002</v>
      </c>
      <c r="AM6">
        <v>37.735833430299998</v>
      </c>
      <c r="AN6">
        <v>24.880443733</v>
      </c>
      <c r="AO6">
        <v>5.7988252094700004</v>
      </c>
      <c r="AP6">
        <v>13.2467402517</v>
      </c>
    </row>
    <row r="7" spans="2:42" x14ac:dyDescent="0.3">
      <c r="B7">
        <v>5</v>
      </c>
      <c r="C7" t="s">
        <v>53</v>
      </c>
      <c r="D7">
        <v>-369.70658890499999</v>
      </c>
      <c r="E7">
        <v>1.0848288641000001E-2</v>
      </c>
      <c r="F7">
        <v>8.3609627538999993E-3</v>
      </c>
      <c r="G7">
        <v>-1.9503383055099999E-3</v>
      </c>
      <c r="H7">
        <v>-144.988779067</v>
      </c>
      <c r="I7">
        <v>6.8865587548600001E-3</v>
      </c>
      <c r="J7">
        <v>-1.5324172640299999E-2</v>
      </c>
      <c r="K7">
        <v>1.12192456642E-2</v>
      </c>
      <c r="L7">
        <v>-145.218712633</v>
      </c>
      <c r="Y7">
        <v>-36970.658890500003</v>
      </c>
      <c r="Z7">
        <v>-0.19503383055099999</v>
      </c>
      <c r="AA7">
        <v>-1.53241726403</v>
      </c>
      <c r="AB7">
        <v>1.0848288640999999</v>
      </c>
      <c r="AC7">
        <v>-14498.8779067</v>
      </c>
      <c r="AD7">
        <v>1.1219245664199999</v>
      </c>
      <c r="AE7">
        <v>0.83609627538999998</v>
      </c>
      <c r="AF7">
        <v>0.68865587548600005</v>
      </c>
      <c r="AG7">
        <v>-14521.8712633</v>
      </c>
      <c r="AH7">
        <v>0.236635142809</v>
      </c>
      <c r="AI7">
        <v>18.2376464279</v>
      </c>
      <c r="AJ7">
        <v>12.734014843700001</v>
      </c>
      <c r="AK7">
        <v>21.220660881600001</v>
      </c>
      <c r="AL7">
        <v>2.1396285447599999</v>
      </c>
      <c r="AM7">
        <v>15.2631034577</v>
      </c>
      <c r="AN7">
        <v>-0.64184402550599995</v>
      </c>
      <c r="AO7">
        <v>5.8137285251400002</v>
      </c>
      <c r="AP7">
        <v>-5.2276733288499999</v>
      </c>
    </row>
    <row r="8" spans="2:42" x14ac:dyDescent="0.3">
      <c r="B8">
        <v>6</v>
      </c>
      <c r="C8" t="s">
        <v>71</v>
      </c>
      <c r="D8">
        <v>-376.06535661200002</v>
      </c>
      <c r="E8">
        <v>8.1054013201300006E-3</v>
      </c>
      <c r="F8">
        <v>-1.76875848176E-3</v>
      </c>
      <c r="G8">
        <v>2.3267419759699999E-3</v>
      </c>
      <c r="H8">
        <v>-149.97760171600001</v>
      </c>
      <c r="I8">
        <v>-2.75087827571E-3</v>
      </c>
      <c r="J8">
        <v>-2.4471128342300002E-3</v>
      </c>
      <c r="K8">
        <v>2.2760774000500001E-3</v>
      </c>
      <c r="L8">
        <v>-150.07202420499999</v>
      </c>
      <c r="Y8">
        <v>-37606.535661200003</v>
      </c>
      <c r="Z8">
        <v>0.232674197597</v>
      </c>
      <c r="AA8">
        <v>-0.244711283423</v>
      </c>
      <c r="AB8">
        <v>0.81054013201300001</v>
      </c>
      <c r="AC8">
        <v>-14997.760171600001</v>
      </c>
      <c r="AD8">
        <v>0.227607740005</v>
      </c>
      <c r="AE8">
        <v>-0.17687584817599999</v>
      </c>
      <c r="AF8">
        <v>-0.27508782757099998</v>
      </c>
      <c r="AG8">
        <v>-15007.2024205</v>
      </c>
      <c r="AH8">
        <v>-2.11159163105</v>
      </c>
      <c r="AI8">
        <v>-0.19831816612</v>
      </c>
      <c r="AJ8">
        <v>0.96022232812099995</v>
      </c>
      <c r="AK8">
        <v>2.4187890051799998</v>
      </c>
      <c r="AL8">
        <v>0.42410588225500001</v>
      </c>
      <c r="AM8">
        <v>-2.1216393891099998</v>
      </c>
      <c r="AN8">
        <v>0.43544582463600001</v>
      </c>
      <c r="AO8">
        <v>0.86619569545599995</v>
      </c>
      <c r="AP8">
        <v>0.77689768638300005</v>
      </c>
    </row>
    <row r="9" spans="2:42" x14ac:dyDescent="0.3">
      <c r="B9">
        <v>7</v>
      </c>
      <c r="C9" t="s">
        <v>92</v>
      </c>
      <c r="D9">
        <v>-251.327421875</v>
      </c>
      <c r="E9">
        <v>0</v>
      </c>
      <c r="F9">
        <v>0</v>
      </c>
      <c r="G9">
        <v>-8.0779356694599997E-27</v>
      </c>
      <c r="H9">
        <v>6.52564291503E-11</v>
      </c>
      <c r="I9">
        <v>1.1551448007300001E-25</v>
      </c>
      <c r="J9">
        <v>-4.0389678347299999E-27</v>
      </c>
      <c r="K9">
        <v>-1.13898892939E-25</v>
      </c>
      <c r="L9">
        <v>6.52564291503E-11</v>
      </c>
    </row>
    <row r="10" spans="2:42" x14ac:dyDescent="0.3">
      <c r="B10">
        <v>8</v>
      </c>
      <c r="C10" t="s">
        <v>54</v>
      </c>
      <c r="D10">
        <v>-282.74333984399999</v>
      </c>
      <c r="E10">
        <v>0</v>
      </c>
      <c r="F10">
        <v>0</v>
      </c>
      <c r="G10">
        <v>-4.13590306277E-27</v>
      </c>
      <c r="H10">
        <v>7.3413490843200006E-11</v>
      </c>
      <c r="I10">
        <v>2.2127081385799998E-25</v>
      </c>
      <c r="J10">
        <v>8.27180612553E-27</v>
      </c>
      <c r="K10">
        <v>-2.1506695926399999E-25</v>
      </c>
      <c r="L10">
        <v>7.3413490843200006E-11</v>
      </c>
      <c r="Y10">
        <v>-28274.3339844</v>
      </c>
      <c r="Z10">
        <v>-4.1359030627700001E-25</v>
      </c>
      <c r="AA10">
        <v>8.2718061255300003E-25</v>
      </c>
      <c r="AB10">
        <v>0</v>
      </c>
      <c r="AC10">
        <v>7.3413490843199997E-9</v>
      </c>
      <c r="AD10">
        <v>-2.1506695926399999E-23</v>
      </c>
      <c r="AE10">
        <v>0</v>
      </c>
      <c r="AF10">
        <v>2.21270813858E-23</v>
      </c>
      <c r="AG10">
        <v>7.3413490843199997E-9</v>
      </c>
      <c r="AH10">
        <v>-3.3087201963199999E-24</v>
      </c>
      <c r="AI10">
        <v>-6.3297838458000004E-9</v>
      </c>
      <c r="AJ10">
        <v>6.7918071543000003E-9</v>
      </c>
      <c r="AK10">
        <v>5.9399951624200001E-9</v>
      </c>
      <c r="AL10">
        <v>0</v>
      </c>
      <c r="AM10">
        <v>2.36462254388E-9</v>
      </c>
      <c r="AN10">
        <v>-5.9399951624200001E-9</v>
      </c>
      <c r="AO10">
        <v>-2.36462254388E-9</v>
      </c>
      <c r="AP10">
        <v>0</v>
      </c>
    </row>
    <row r="11" spans="2:42" x14ac:dyDescent="0.3">
      <c r="B11">
        <v>9</v>
      </c>
      <c r="C11" t="s">
        <v>55</v>
      </c>
      <c r="D11">
        <v>-314.15925781200002</v>
      </c>
      <c r="E11">
        <v>0</v>
      </c>
      <c r="F11">
        <v>0</v>
      </c>
      <c r="G11">
        <v>-4.13590306277E-27</v>
      </c>
      <c r="H11">
        <v>8.1570543654299999E-11</v>
      </c>
      <c r="I11">
        <v>4.5288138537300002E-25</v>
      </c>
      <c r="J11">
        <v>8.27180612553E-27</v>
      </c>
      <c r="K11">
        <v>-4.5701728843599998E-25</v>
      </c>
      <c r="L11">
        <v>8.1570543654299999E-11</v>
      </c>
      <c r="Y11">
        <v>-31415.9257812</v>
      </c>
      <c r="Z11">
        <v>-4.1359030627700001E-25</v>
      </c>
      <c r="AA11">
        <v>8.2718061255300003E-25</v>
      </c>
      <c r="AB11">
        <v>0</v>
      </c>
      <c r="AC11">
        <v>8.1570543654300003E-9</v>
      </c>
      <c r="AD11">
        <v>-4.57017288436E-23</v>
      </c>
      <c r="AE11">
        <v>0</v>
      </c>
      <c r="AF11">
        <v>4.52881385373E-23</v>
      </c>
      <c r="AG11">
        <v>8.1570543654300003E-9</v>
      </c>
      <c r="AH11">
        <v>3.7615819226299997E-36</v>
      </c>
      <c r="AI11">
        <v>-3.2899684913500002E-9</v>
      </c>
      <c r="AJ11">
        <v>1.7983971804500001E-9</v>
      </c>
      <c r="AK11">
        <v>6.5999938847700003E-9</v>
      </c>
      <c r="AL11">
        <v>0</v>
      </c>
      <c r="AM11">
        <v>2.5974382501100001E-9</v>
      </c>
      <c r="AN11">
        <v>-6.5999938847700003E-9</v>
      </c>
      <c r="AO11">
        <v>-2.5974382501100001E-9</v>
      </c>
      <c r="AP11">
        <v>0</v>
      </c>
    </row>
    <row r="12" spans="2:42" x14ac:dyDescent="0.3">
      <c r="B12">
        <v>10</v>
      </c>
      <c r="C12" t="s">
        <v>61</v>
      </c>
      <c r="D12">
        <v>-355.43980468799998</v>
      </c>
      <c r="E12">
        <v>0</v>
      </c>
      <c r="F12">
        <v>0</v>
      </c>
      <c r="G12">
        <v>1.2407709188300001E-26</v>
      </c>
      <c r="H12">
        <v>9.2288925392000006E-11</v>
      </c>
      <c r="I12">
        <v>4.9630836753200003E-26</v>
      </c>
      <c r="J12">
        <v>4.13590306277E-27</v>
      </c>
      <c r="K12">
        <v>-4.9630836753200003E-26</v>
      </c>
      <c r="L12">
        <v>9.2288925392000006E-11</v>
      </c>
      <c r="Y12">
        <v>-35543.9804688</v>
      </c>
      <c r="Z12">
        <v>1.24077091883E-24</v>
      </c>
      <c r="AA12">
        <v>4.1359030627700001E-25</v>
      </c>
      <c r="AB12">
        <v>0</v>
      </c>
      <c r="AC12">
        <v>9.2288925391999998E-9</v>
      </c>
      <c r="AD12">
        <v>-4.9630836753199998E-24</v>
      </c>
      <c r="AE12">
        <v>0</v>
      </c>
      <c r="AF12">
        <v>4.9630836753199998E-24</v>
      </c>
      <c r="AG12">
        <v>9.2288925391999998E-9</v>
      </c>
      <c r="AH12">
        <v>-3.3087256056500003E-24</v>
      </c>
      <c r="AI12">
        <v>-7.9649406012599993E-9</v>
      </c>
      <c r="AJ12">
        <v>1.02168494828E-8</v>
      </c>
      <c r="AK12">
        <v>7.4672268369000005E-9</v>
      </c>
      <c r="AL12">
        <v>0</v>
      </c>
      <c r="AM12">
        <v>2.9321102821500001E-9</v>
      </c>
      <c r="AN12">
        <v>-7.4672268368899999E-9</v>
      </c>
      <c r="AO12">
        <v>-2.9321102821500001E-9</v>
      </c>
      <c r="AP12">
        <v>0</v>
      </c>
    </row>
    <row r="13" spans="2:42" x14ac:dyDescent="0.3">
      <c r="B13">
        <v>11</v>
      </c>
      <c r="C13" t="s">
        <v>59</v>
      </c>
      <c r="D13">
        <v>-369.70261718799998</v>
      </c>
      <c r="E13">
        <v>0</v>
      </c>
      <c r="F13">
        <v>0</v>
      </c>
      <c r="G13">
        <v>8.27180612553E-27</v>
      </c>
      <c r="H13">
        <v>9.5992223060800005E-11</v>
      </c>
      <c r="I13">
        <v>-3.8463898483699998E-25</v>
      </c>
      <c r="J13">
        <v>0</v>
      </c>
      <c r="K13">
        <v>3.86706936369E-25</v>
      </c>
      <c r="L13">
        <v>9.5992223060800005E-11</v>
      </c>
      <c r="Y13">
        <v>-36970.2617188</v>
      </c>
      <c r="Z13">
        <v>8.2718061255300003E-25</v>
      </c>
      <c r="AA13">
        <v>0</v>
      </c>
      <c r="AB13">
        <v>0</v>
      </c>
      <c r="AC13">
        <v>9.5992223060799994E-9</v>
      </c>
      <c r="AD13">
        <v>3.86706936369E-23</v>
      </c>
      <c r="AE13">
        <v>0</v>
      </c>
      <c r="AF13">
        <v>-3.84638984837E-23</v>
      </c>
      <c r="AG13">
        <v>9.5992223060799994E-9</v>
      </c>
      <c r="AH13">
        <v>1.80311278998E-30</v>
      </c>
      <c r="AI13">
        <v>-4.5194677895800001E-9</v>
      </c>
      <c r="AJ13">
        <v>6.1238164435099998E-9</v>
      </c>
      <c r="AK13">
        <v>7.7668671494500002E-9</v>
      </c>
      <c r="AL13">
        <v>0</v>
      </c>
      <c r="AM13">
        <v>3.07762119589E-9</v>
      </c>
      <c r="AN13">
        <v>-7.7668671494500002E-9</v>
      </c>
      <c r="AO13">
        <v>-3.07762119589E-9</v>
      </c>
      <c r="AP13">
        <v>0</v>
      </c>
    </row>
    <row r="14" spans="2:42" x14ac:dyDescent="0.3">
      <c r="B14">
        <v>12</v>
      </c>
      <c r="C14" t="s">
        <v>56</v>
      </c>
      <c r="D14">
        <v>-175.49066031999999</v>
      </c>
      <c r="E14">
        <v>-1.7582684840300001E-2</v>
      </c>
      <c r="F14">
        <v>3.2806144639000001E-2</v>
      </c>
      <c r="G14">
        <v>-1.4074850981700001E-2</v>
      </c>
      <c r="H14">
        <v>-60.645927940999997</v>
      </c>
      <c r="I14">
        <v>8.0791712069199998E-3</v>
      </c>
      <c r="J14">
        <v>2.2032361242E-2</v>
      </c>
      <c r="K14">
        <v>-1.7125695596900001E-2</v>
      </c>
      <c r="L14">
        <v>-60.2450529145</v>
      </c>
      <c r="Y14">
        <v>-17549.066031999999</v>
      </c>
      <c r="Z14">
        <v>-1.40748509817</v>
      </c>
      <c r="AA14">
        <v>2.2032361242</v>
      </c>
      <c r="AB14">
        <v>-1.75826848403</v>
      </c>
      <c r="AC14">
        <v>-6064.5927941</v>
      </c>
      <c r="AD14">
        <v>-1.7125695596899999</v>
      </c>
      <c r="AE14">
        <v>3.2806144639000001</v>
      </c>
      <c r="AF14">
        <v>0.80791712069199995</v>
      </c>
      <c r="AG14">
        <v>-6024.5052914500002</v>
      </c>
      <c r="AH14">
        <v>10.106263094299999</v>
      </c>
      <c r="AI14">
        <v>22.003752437500001</v>
      </c>
      <c r="AJ14">
        <v>-4.51433147927</v>
      </c>
      <c r="AK14">
        <v>-33.124252794699999</v>
      </c>
      <c r="AL14">
        <v>-12.034754734</v>
      </c>
      <c r="AM14">
        <v>20.039047129499998</v>
      </c>
      <c r="AN14">
        <v>-8.6332603128599992</v>
      </c>
      <c r="AO14">
        <v>26.823454122200001</v>
      </c>
      <c r="AP14">
        <v>2.85299662214</v>
      </c>
    </row>
    <row r="15" spans="2:42" x14ac:dyDescent="0.3">
      <c r="B15">
        <v>13</v>
      </c>
      <c r="C15" t="s">
        <v>57</v>
      </c>
      <c r="D15">
        <v>-127.060830078</v>
      </c>
      <c r="E15">
        <v>0</v>
      </c>
      <c r="F15">
        <v>0</v>
      </c>
      <c r="G15">
        <v>0</v>
      </c>
      <c r="H15">
        <v>-74.508354492199999</v>
      </c>
      <c r="I15">
        <v>0</v>
      </c>
      <c r="J15">
        <v>0</v>
      </c>
      <c r="K15">
        <v>0</v>
      </c>
      <c r="L15">
        <v>-74.508354492199999</v>
      </c>
      <c r="Y15">
        <v>-12706.0830078</v>
      </c>
      <c r="Z15">
        <v>0</v>
      </c>
      <c r="AA15">
        <v>0</v>
      </c>
      <c r="AB15">
        <v>0</v>
      </c>
      <c r="AC15">
        <v>-7450.8354492199996</v>
      </c>
      <c r="AD15">
        <v>0</v>
      </c>
      <c r="AE15">
        <v>0</v>
      </c>
      <c r="AF15">
        <v>0</v>
      </c>
      <c r="AG15">
        <v>-7450.8354492199996</v>
      </c>
      <c r="AH15">
        <v>-1.9099388737199999E-11</v>
      </c>
      <c r="AI15">
        <v>0</v>
      </c>
      <c r="AJ15">
        <v>0</v>
      </c>
      <c r="AK15">
        <v>-1.9635990611299999E-9</v>
      </c>
      <c r="AL15">
        <v>0</v>
      </c>
      <c r="AM15">
        <v>0</v>
      </c>
      <c r="AN15">
        <v>2.9713191906900001E-9</v>
      </c>
      <c r="AO15">
        <v>0</v>
      </c>
      <c r="AP15">
        <v>0</v>
      </c>
    </row>
    <row r="16" spans="2:42" x14ac:dyDescent="0.3">
      <c r="B16">
        <v>14</v>
      </c>
      <c r="C16" t="s">
        <v>72</v>
      </c>
      <c r="D16">
        <v>-127.79409179699999</v>
      </c>
      <c r="E16">
        <v>0</v>
      </c>
      <c r="F16">
        <v>0</v>
      </c>
      <c r="G16">
        <v>0</v>
      </c>
      <c r="H16">
        <v>-74.643930664099997</v>
      </c>
      <c r="I16">
        <v>0</v>
      </c>
      <c r="J16">
        <v>0</v>
      </c>
      <c r="K16">
        <v>0</v>
      </c>
      <c r="L16">
        <v>-74.643930664099997</v>
      </c>
      <c r="Y16">
        <v>-12779.4091797</v>
      </c>
      <c r="Z16">
        <v>0</v>
      </c>
      <c r="AA16">
        <v>0</v>
      </c>
      <c r="AB16">
        <v>0</v>
      </c>
      <c r="AC16">
        <v>-7464.3930664099998</v>
      </c>
      <c r="AD16">
        <v>0</v>
      </c>
      <c r="AE16">
        <v>0</v>
      </c>
      <c r="AF16">
        <v>0</v>
      </c>
      <c r="AG16">
        <v>-7464.3930664099998</v>
      </c>
      <c r="AH16">
        <v>6.9121597334699998E-11</v>
      </c>
      <c r="AI16">
        <v>0</v>
      </c>
      <c r="AJ16">
        <v>0</v>
      </c>
      <c r="AK16">
        <v>-9.2586560640499997E-10</v>
      </c>
      <c r="AL16">
        <v>0</v>
      </c>
      <c r="AM16">
        <v>0</v>
      </c>
      <c r="AN16">
        <v>-3.0177034204800001E-9</v>
      </c>
      <c r="AO16">
        <v>0</v>
      </c>
      <c r="AP16">
        <v>0</v>
      </c>
    </row>
    <row r="17" spans="3:3" x14ac:dyDescent="0.3">
      <c r="C17" s="6"/>
    </row>
    <row r="18" spans="3:3" x14ac:dyDescent="0.3">
      <c r="C18" s="6"/>
    </row>
    <row r="19" spans="3:3" x14ac:dyDescent="0.3">
      <c r="C19" s="6"/>
    </row>
    <row r="20" spans="3:3" x14ac:dyDescent="0.3">
      <c r="C20" s="6"/>
    </row>
    <row r="21" spans="3:3" x14ac:dyDescent="0.3">
      <c r="C21" s="6"/>
    </row>
    <row r="22" spans="3:3" x14ac:dyDescent="0.3">
      <c r="C22" s="6"/>
    </row>
    <row r="23" spans="3:3" x14ac:dyDescent="0.3">
      <c r="C23" s="6"/>
    </row>
    <row r="24" spans="3:3" x14ac:dyDescent="0.3">
      <c r="C24" s="6"/>
    </row>
    <row r="25" spans="3:3" x14ac:dyDescent="0.3">
      <c r="C25" s="6"/>
    </row>
    <row r="26" spans="3:3" x14ac:dyDescent="0.3">
      <c r="C26" s="6"/>
    </row>
    <row r="27" spans="3:3" x14ac:dyDescent="0.3">
      <c r="C27" s="6"/>
    </row>
    <row r="28" spans="3:3" x14ac:dyDescent="0.3">
      <c r="C28" s="6"/>
    </row>
    <row r="29" spans="3:3" x14ac:dyDescent="0.3">
      <c r="C29" s="6"/>
    </row>
    <row r="30" spans="3:3" x14ac:dyDescent="0.3">
      <c r="C30" s="6"/>
    </row>
    <row r="31" spans="3:3" x14ac:dyDescent="0.3">
      <c r="C31" s="6"/>
    </row>
  </sheetData>
  <protectedRanges>
    <protectedRange sqref="B3:C31" name="범위1"/>
  </protectedRange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CBBE2-6589-4970-8360-522D0D39D836}">
  <dimension ref="B2:D3"/>
  <sheetViews>
    <sheetView tabSelected="1" workbookViewId="0">
      <selection activeCell="B11" sqref="B11"/>
    </sheetView>
  </sheetViews>
  <sheetFormatPr defaultRowHeight="16.5" x14ac:dyDescent="0.3"/>
  <sheetData>
    <row r="2" spans="2:4" x14ac:dyDescent="0.3">
      <c r="B2" t="s">
        <v>93</v>
      </c>
      <c r="C2" t="s">
        <v>94</v>
      </c>
      <c r="D2" t="s">
        <v>95</v>
      </c>
    </row>
    <row r="3" spans="2:4" x14ac:dyDescent="0.3">
      <c r="B3" t="s">
        <v>96</v>
      </c>
      <c r="C3" t="s">
        <v>97</v>
      </c>
      <c r="D3" t="s">
        <v>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(대학원생) 김우진 (기계공학과)</dc:creator>
  <cp:lastModifiedBy>(대학원생) 김우진 (기계공학과)</cp:lastModifiedBy>
  <dcterms:created xsi:type="dcterms:W3CDTF">2026-04-09T09:34:20Z</dcterms:created>
  <dcterms:modified xsi:type="dcterms:W3CDTF">2026-05-19T06:03:24Z</dcterms:modified>
</cp:coreProperties>
</file>