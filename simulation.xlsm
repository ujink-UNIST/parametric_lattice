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parametric_lattice\"/>
    </mc:Choice>
  </mc:AlternateContent>
  <xr:revisionPtr revIDLastSave="0" documentId="13_ncr:1_{AFCBD07D-55D3-462F-A0F2-52D6A6BFB34B}" xr6:coauthVersionLast="47" xr6:coauthVersionMax="47" xr10:uidLastSave="{00000000-0000-0000-0000-000000000000}"/>
  <bookViews>
    <workbookView xWindow="15210" yWindow="735" windowWidth="23145" windowHeight="20820" activeTab="1" xr2:uid="{398D889C-A43D-4881-BEA8-39985ED33528}"/>
  </bookViews>
  <sheets>
    <sheet name="Sheet1" sheetId="1" r:id="rId1"/>
    <sheet name="Sheet2" sheetId="2" r:id="rId2"/>
  </sheets>
  <definedNames>
    <definedName name="status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<sst xmlns="http://schemas.openxmlformats.org/spreadsheetml/2006/main" count="103" uniqueCount="66">
  <si>
    <t>bc</t>
    <phoneticPr fontId="1" type="noConversion"/>
  </si>
  <si>
    <t>BEAM188</t>
    <phoneticPr fontId="1" type="noConversion"/>
  </si>
  <si>
    <t>xx</t>
    <phoneticPr fontId="1" type="noConversion"/>
  </si>
  <si>
    <t>yy</t>
    <phoneticPr fontId="1" type="noConversion"/>
  </si>
  <si>
    <t>zz</t>
    <phoneticPr fontId="1" type="noConversion"/>
  </si>
  <si>
    <t>modal_ff</t>
    <phoneticPr fontId="1" type="noConversion"/>
  </si>
  <si>
    <t>modal</t>
    <phoneticPr fontId="1" type="noConversion"/>
  </si>
  <si>
    <t>bc</t>
  </si>
  <si>
    <t>BEAM188</t>
  </si>
  <si>
    <t>xy</t>
    <phoneticPr fontId="1" type="noConversion"/>
  </si>
  <si>
    <t>yz</t>
    <phoneticPr fontId="1" type="noConversion"/>
  </si>
  <si>
    <t>zx</t>
    <phoneticPr fontId="1" type="noConversion"/>
  </si>
  <si>
    <t>custom.txt</t>
    <phoneticPr fontId="1" type="noConversion"/>
  </si>
  <si>
    <t>229361b93f63d8b6f956d8f7f6a84bcb518a72fc459647b526d99a6311ad9dab</t>
    <phoneticPr fontId="1" type="noConversion"/>
  </si>
  <si>
    <t>4cab6537bf9fbcc78f6d475cc6bb3648dab20016a10e54635fc6419fe7ff2b69</t>
    <phoneticPr fontId="1" type="noConversion"/>
  </si>
  <si>
    <t>f84a6d54be9b84622e7ec06b631eb7fcbd000db3ac186ea033da76e8f39ca0a8</t>
    <phoneticPr fontId="1" type="noConversion"/>
  </si>
  <si>
    <t>dd0bccbab19c60505aa549c66be085a243bd1cc254d1cacee24908fc8197ef13</t>
    <phoneticPr fontId="1" type="noConversion"/>
  </si>
  <si>
    <t>a1690dbdfc2e11058611fb08466f2762ba4efc42cf8c43b320fbd6257b913bb7</t>
    <phoneticPr fontId="1" type="noConversion"/>
  </si>
  <si>
    <t>dc27d3a67d28ce9d37fa500c0ea24bebffcf6c6b07553ab4cd2ebba851117230</t>
    <phoneticPr fontId="1" type="noConversion"/>
  </si>
  <si>
    <t>f34dc8fe7182df5d66a8a79f11778794220e2302110f59f324ce123679b24e9f</t>
    <phoneticPr fontId="1" type="noConversion"/>
  </si>
  <si>
    <t>b2d5b039529b52d85bf9a6d1f6efa5d65b89f643d30dc2b0059995167ef8cee9</t>
    <phoneticPr fontId="1" type="noConversion"/>
  </si>
  <si>
    <t>9d725c5fc9c5848962403fa1b42af8563c7716a6040a1d0a265c3f9ee92f409b</t>
    <phoneticPr fontId="1" type="noConversion"/>
  </si>
  <si>
    <t>44b07ff20b1015bbe4d2f894c1c6fb1fc0bf8a77ae0acd085a6fdc86723f8f47</t>
    <phoneticPr fontId="1" type="noConversion"/>
  </si>
  <si>
    <t>7d9e2469f601eb35834ebdc2467b73b906c7db8ce9cfb34c0ea7fd96d4189db6</t>
    <phoneticPr fontId="1" type="noConversion"/>
  </si>
  <si>
    <t>cb6c34e3d2e2f4509f19daca6c23719c79ed0c1ddfecccabf7d6adde02d7d72a</t>
    <phoneticPr fontId="1" type="noConversion"/>
  </si>
  <si>
    <t>312d20f073451a4eef7d21c0b913aaa2582a2578eb01fe80d1fa2e212161894d</t>
    <phoneticPr fontId="1" type="noConversion"/>
  </si>
  <si>
    <t>c63f44a4f9a10ae8343a877b2bd64aed58fb1ee3ca83e6cf8c527b6e9aee7ef4</t>
    <phoneticPr fontId="1" type="noConversion"/>
  </si>
  <si>
    <t>76b83ba74533e6e133d48c26d522fdecad4ff1b537821b0afb990540c32394c9</t>
    <phoneticPr fontId="1" type="noConversion"/>
  </si>
  <si>
    <t>9f21da5c26d38fe18e83e5cc01f4b1334d550da57ee5857f3123c3f4b6c5104d</t>
    <phoneticPr fontId="1" type="noConversion"/>
  </si>
  <si>
    <t>index</t>
    <phoneticPr fontId="1" type="noConversion"/>
  </si>
  <si>
    <t>cell_name</t>
    <phoneticPr fontId="1" type="noConversion"/>
  </si>
  <si>
    <t>element_type</t>
    <phoneticPr fontId="1" type="noConversion"/>
  </si>
  <si>
    <t>radius_multiplier</t>
    <phoneticPr fontId="1" type="noConversion"/>
  </si>
  <si>
    <t>max_element_size</t>
    <phoneticPr fontId="1" type="noConversion"/>
  </si>
  <si>
    <t>strain</t>
    <phoneticPr fontId="1" type="noConversion"/>
  </si>
  <si>
    <t>simulation_type</t>
    <phoneticPr fontId="1" type="noConversion"/>
  </si>
  <si>
    <t>substeps</t>
    <phoneticPr fontId="1" type="noConversion"/>
  </si>
  <si>
    <t>elastic_modulus</t>
    <phoneticPr fontId="1" type="noConversion"/>
  </si>
  <si>
    <t>poisson_ratio</t>
    <phoneticPr fontId="1" type="noConversion"/>
  </si>
  <si>
    <t>density</t>
    <phoneticPr fontId="1" type="noConversion"/>
  </si>
  <si>
    <t>kappa</t>
    <phoneticPr fontId="1" type="noConversion"/>
  </si>
  <si>
    <t>hash</t>
    <phoneticPr fontId="1" type="noConversion"/>
  </si>
  <si>
    <t>cell_size_X</t>
    <phoneticPr fontId="1" type="noConversion"/>
  </si>
  <si>
    <t>cell_size_Y</t>
    <phoneticPr fontId="1" type="noConversion"/>
  </si>
  <si>
    <t>cell_size_Z</t>
    <phoneticPr fontId="1" type="noConversion"/>
  </si>
  <si>
    <t>boundary_traction_XX</t>
    <phoneticPr fontId="1" type="noConversion"/>
  </si>
  <si>
    <t>boundary_traction_XY</t>
    <phoneticPr fontId="1" type="noConversion"/>
  </si>
  <si>
    <t>boundary_traction_XZ</t>
    <phoneticPr fontId="1" type="noConversion"/>
  </si>
  <si>
    <t>boundary_traction_YX</t>
    <phoneticPr fontId="1" type="noConversion"/>
  </si>
  <si>
    <t>boundary_traction_YY</t>
    <phoneticPr fontId="1" type="noConversion"/>
  </si>
  <si>
    <t>boundary_traction_YZ</t>
    <phoneticPr fontId="1" type="noConversion"/>
  </si>
  <si>
    <t>boundary_traction_ZX</t>
    <phoneticPr fontId="1" type="noConversion"/>
  </si>
  <si>
    <t>boundary_traction_ZY</t>
    <phoneticPr fontId="1" type="noConversion"/>
  </si>
  <si>
    <t>boundary_traction_ZZ</t>
    <phoneticPr fontId="1" type="noConversion"/>
  </si>
  <si>
    <t>boundary_stress_XX</t>
    <phoneticPr fontId="1" type="noConversion"/>
  </si>
  <si>
    <t>boundary_stress_YY</t>
    <phoneticPr fontId="1" type="noConversion"/>
  </si>
  <si>
    <t>boundary_stress_ZZ</t>
    <phoneticPr fontId="1" type="noConversion"/>
  </si>
  <si>
    <t>boundary_stress_YZ</t>
    <phoneticPr fontId="1" type="noConversion"/>
  </si>
  <si>
    <t>boundary_stress_XZ</t>
    <phoneticPr fontId="1" type="noConversion"/>
  </si>
  <si>
    <t>boundary_stress_XY</t>
    <phoneticPr fontId="1" type="noConversion"/>
  </si>
  <si>
    <t>volume_stress_XX</t>
    <phoneticPr fontId="1" type="noConversion"/>
  </si>
  <si>
    <t>volume_stress_YY</t>
    <phoneticPr fontId="1" type="noConversion"/>
  </si>
  <si>
    <t>volume_stress_ZZ</t>
    <phoneticPr fontId="1" type="noConversion"/>
  </si>
  <si>
    <t>volume_stress_YZ</t>
    <phoneticPr fontId="1" type="noConversion"/>
  </si>
  <si>
    <t>volume_stress_XZ</t>
    <phoneticPr fontId="1" type="noConversion"/>
  </si>
  <si>
    <t>volume_stress_XY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</si>
</sst>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3" formatCode=";;;&quot;*****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textRotation="180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textRotation="180" wrapText="1"/>
    </xf>
    <xf numFmtId="0" fontId="0" fillId="0" borderId="0" xfId="0" applyAlignment="1">
      <alignment vertical="center" textRotation="180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183" fontId="0" fillId="0" borderId="0" xfId="0" applyNumberFormat="1" applyProtection="1">
      <alignment vertical="center"/>
    </xf>
    <xf numFmtId="183" fontId="0" fillId="0" borderId="0" xfId="0" applyNumberFormat="1" applyFill="1" applyProtection="1">
      <alignment vertical="center"/>
    </xf>
    <xf numFmtId="0" fontId="0" fillId="0" borderId="0" xfId="0" applyFill="1" applyAlignment="1">
      <alignment vertical="center" textRotation="180"/>
    </xf>
  </cellXfs>
  <cellStyles count="1">
    <cellStyle name="표준" xfId="0" builtinId="0"/>
  </cellStyles>
  <dxfs count="22">
    <dxf>
      <alignment horizontal="general" vertical="center" textRotation="180" wrapText="0" indent="0" justifyLastLine="0" shrinkToFit="0" readingOrder="0"/>
    </dxf>
    <dxf>
      <numFmt numFmtId="0" formatCode="General"/>
    </dxf>
    <dxf>
      <numFmt numFmtId="183" formatCode=";;;&quot;*****&quot;"/>
      <protection locked="1" hidden="0"/>
    </dxf>
    <dxf>
      <numFmt numFmtId="183" formatCode=";;;&quot;*****&quot;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alignment horizontal="general" vertical="center" textRotation="18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119062</xdr:colOff>
      <xdr:row>16</xdr:row>
      <xdr:rowOff>42862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9218EF-7519-5171-EFF2-7FEEFDE9586F}"/>
            </a:ext>
          </a:extLst>
        </xdr:cNvPr>
        <xdr:cNvSpPr txBox="1"/>
      </xdr:nvSpPr>
      <xdr:spPr>
        <a:xfrm>
          <a:off x="4471987" y="29765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209550</xdr:rowOff>
        </xdr:from>
        <xdr:to>
          <xdr:col>3</xdr:col>
          <xdr:colOff>0</xdr:colOff>
          <xdr:row>1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0</xdr:row>
          <xdr:rowOff>209550</xdr:rowOff>
        </xdr:from>
        <xdr:to>
          <xdr:col>5</xdr:col>
          <xdr:colOff>695325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695325</xdr:colOff>
          <xdr:row>0</xdr:row>
          <xdr:rowOff>209550</xdr:rowOff>
        </xdr:from>
        <xdr:to>
          <xdr:col>11</xdr:col>
          <xdr:colOff>714375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Lattice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Case Artifact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248BB-DB9C-4B7F-9AB7-26DC15C5E3FF}" name="t_input" displayName="t_input" ref="B5:Q21" headerRowDxfId="21" headerRowCellStyle="표준" dataCellStyle="표준">
  <autoFilter ref="B5:Q21" xr:uid="{9FC248BB-DB9C-4B7F-9AB7-26DC15C5E3FF}"/>
  <tableColumns count="16">
    <tableColumn id="1" xr3:uid="{38087172-54C6-4F67-8ADA-1360EE1F245A}" name="index" totalsRowLabel="요약" totalsRowDxfId="5" dataCellStyle="표준">
      <calculatedColumnFormula>ROW()-5</calculatedColumnFormula>
    </tableColumn>
    <tableColumn id="17" xr3:uid="{A7DA7EB8-674D-4283-9D36-B30B71739D5D}" name="hash" totalsRowFunction="count" dataDxfId="3" totalsRowDxfId="4" dataCellStyle="표준"/>
    <tableColumn id="2" xr3:uid="{E36B6051-6A2B-4B90-A9F6-938834F81DDD}" name="cell_name" totalsRowDxfId="6" dataCellStyle="표준"/>
    <tableColumn id="3" xr3:uid="{3B4478CA-78A5-4C31-98F3-727BEEC34C77}" name="element_type" totalsRowDxfId="7" dataCellStyle="표준"/>
    <tableColumn id="4" xr3:uid="{2B4877C0-FB07-4596-928B-1F68AE0DF535}" name="cell_size_X" totalsRowDxfId="8" dataCellStyle="표준"/>
    <tableColumn id="5" xr3:uid="{F0EBA030-0466-4D87-9D5F-F3EAEB34D67B}" name="cell_size_Y" totalsRowDxfId="9" dataCellStyle="표준"/>
    <tableColumn id="10" xr3:uid="{82775151-E185-4D32-80CA-C6D8D54C6255}" name="cell_size_Z" totalsRowDxfId="10" dataCellStyle="표준"/>
    <tableColumn id="6" xr3:uid="{958BCF1B-FB15-435C-A834-E7C66CD2E91D}" name="radius_multiplier" totalsRowDxfId="11" dataCellStyle="표준"/>
    <tableColumn id="7" xr3:uid="{D2CAB588-5BC1-4824-B155-80C66F1A892C}" name="max_element_size" totalsRowDxfId="12" dataCellStyle="표준"/>
    <tableColumn id="11" xr3:uid="{58141FE6-C94D-4606-B945-78B334F002A7}" name="strain" totalsRowDxfId="13" dataCellStyle="표준"/>
    <tableColumn id="8" xr3:uid="{B6CA9001-DAB7-4B59-86A8-BA271CECA7E2}" name="simulation_type" totalsRowDxfId="14" dataCellStyle="표준"/>
    <tableColumn id="9" xr3:uid="{217D38F5-F85A-4274-9C35-BE7E59C2FA73}" name="substeps" totalsRowDxfId="15" dataCellStyle="표준"/>
    <tableColumn id="12" xr3:uid="{85529AB5-43E4-4D6C-8615-298E1BEAD8F0}" name="elastic_modulus" totalsRowDxfId="16" dataCellStyle="표준"/>
    <tableColumn id="18" xr3:uid="{2C84E076-F79B-4036-8D25-3D37DC527D81}" name="poisson_ratio" dataDxfId="20" totalsRowDxfId="17" dataCellStyle="표준"/>
    <tableColumn id="14" xr3:uid="{BB1FC3DE-3D62-491F-A249-ED4E9465B4E0}" name="density" totalsRowDxfId="18" dataCellStyle="표준"/>
    <tableColumn id="15" xr3:uid="{767257E3-02AC-4E6F-AD6D-087D90C97C9C}" name="kappa" totalsRowDxfId="19" dataCellStyle="표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43D302-0383-4FC7-AA88-E0B4BE1BD812}" name="t_output" displayName="t_output" ref="B2:X3" totalsRowShown="0" headerRowDxfId="0">
  <autoFilter ref="B2:X3" xr:uid="{6243D302-0383-4FC7-AA88-E0B4BE1BD812}"/>
  <tableColumns count="23">
    <tableColumn id="1" xr3:uid="{312F075B-486F-4211-9066-569BC2EA9C85}" name="index" dataDxfId="1">
      <calculatedColumnFormula>ROW()-2</calculatedColumnFormula>
    </tableColumn>
    <tableColumn id="2" xr3:uid="{114235DF-50D2-4F84-B2FE-107688409A21}" name="hash" dataDxfId="2"/>
    <tableColumn id="3" xr3:uid="{7842F8B7-3ED7-4F2F-9A8C-0C1E3714E710}" name="boundary_traction_XX"/>
    <tableColumn id="4" xr3:uid="{19B8EBC4-C757-47A3-8D2A-9E940CA9E6DE}" name="boundary_traction_XY"/>
    <tableColumn id="5" xr3:uid="{AC6BFF68-3490-4155-8BBE-F1B9C068897E}" name="boundary_traction_XZ"/>
    <tableColumn id="6" xr3:uid="{86705C6C-4EE8-4F7B-AEDE-AA3937F28A41}" name="boundary_traction_YX"/>
    <tableColumn id="7" xr3:uid="{D51E8B50-EA30-4262-95C6-F12948427341}" name="boundary_traction_YY"/>
    <tableColumn id="8" xr3:uid="{92974E17-BCDC-44EC-AC58-3D3D2E9F95B1}" name="boundary_traction_YZ"/>
    <tableColumn id="9" xr3:uid="{0490B37F-11C7-4865-888D-3EE690484287}" name="boundary_traction_ZX"/>
    <tableColumn id="10" xr3:uid="{378E1950-0712-4594-8657-C9AF05B327DD}" name="boundary_traction_ZY"/>
    <tableColumn id="11" xr3:uid="{E1CA10FF-4E7C-4ECC-B703-2095D7169DEA}" name="boundary_traction_ZZ"/>
    <tableColumn id="12" xr3:uid="{694DFA29-36E1-44E6-A9A7-C67A7BF770BC}" name="boundary_stress_XX"/>
    <tableColumn id="13" xr3:uid="{7F834F14-17EF-432D-89F0-B8B06E263794}" name="boundary_stress_YY"/>
    <tableColumn id="14" xr3:uid="{DCD524E6-F6FA-405B-B92B-D266D97CC7F1}" name="boundary_stress_ZZ"/>
    <tableColumn id="15" xr3:uid="{F6C51898-1FFF-4469-A59B-1ED1926C967B}" name="boundary_stress_YZ"/>
    <tableColumn id="16" xr3:uid="{321FDEA6-54AE-49D0-A5FF-8B8F464CA7AA}" name="boundary_stress_XZ"/>
    <tableColumn id="17" xr3:uid="{075E3112-7DAE-41AF-B342-217608646666}" name="boundary_stress_XY"/>
    <tableColumn id="18" xr3:uid="{65253130-154C-48B9-97D0-7CA9AA7B95CD}" name="volume_stress_XX"/>
    <tableColumn id="19" xr3:uid="{3D57023A-28E1-4879-9A0D-F99995D12BA1}" name="volume_stress_YY"/>
    <tableColumn id="20" xr3:uid="{FA118812-BAB9-45B8-B067-22F7AEAB93D9}" name="volume_stress_ZZ"/>
    <tableColumn id="21" xr3:uid="{5644357F-0D34-44AB-8280-364DF7A8DF32}" name="volume_stress_YZ"/>
    <tableColumn id="22" xr3:uid="{14794109-C568-4739-9AE0-3EE6FB0E1E56}" name="volume_stress_XZ"/>
    <tableColumn id="23" xr3:uid="{41FB8BF3-57A5-4D23-9C09-78099AF8BA50}" name="volume_stress_X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059CE-5B99-4F86-9DFB-C1C16367DCFD}">
  <sheetPr codeName="Sheet1"/>
  <dimension ref="A5:DH78"/>
  <sheetViews>
    <sheetView zoomScaleNormal="100" workbookViewId="0">
      <selection activeCell="G27" sqref="G27"/>
    </sheetView>
  </sheetViews>
  <sheetFormatPr defaultRowHeight="16.5" x14ac:dyDescent="0.3"/>
  <cols>
    <col min="1" max="1" width="3.125" customWidth="1"/>
    <col min="2" max="2" width="9.125" bestFit="1" customWidth="1"/>
    <col min="5" max="8" width="9.125" bestFit="1" customWidth="1"/>
    <col min="9" max="9" width="9.375" bestFit="1" customWidth="1"/>
    <col min="10" max="10" width="9.125" bestFit="1" customWidth="1"/>
    <col min="12" max="12" width="9.375" bestFit="1" customWidth="1"/>
    <col min="13" max="13" width="9.125" bestFit="1" customWidth="1"/>
    <col min="14" max="14" width="10.625" bestFit="1" customWidth="1"/>
    <col min="15" max="15" width="9.125" bestFit="1" customWidth="1"/>
    <col min="17" max="17" width="9" customWidth="1"/>
  </cols>
  <sheetData>
    <row r="5" spans="1:112" ht="99" x14ac:dyDescent="0.3">
      <c r="B5" s="4" t="s">
        <v>29</v>
      </c>
      <c r="C5" s="4" t="s">
        <v>41</v>
      </c>
      <c r="D5" s="4" t="s">
        <v>30</v>
      </c>
      <c r="E5" s="4" t="s">
        <v>31</v>
      </c>
      <c r="F5" s="4" t="s">
        <v>42</v>
      </c>
      <c r="G5" s="4" t="s">
        <v>43</v>
      </c>
      <c r="H5" s="4" t="s">
        <v>44</v>
      </c>
      <c r="I5" s="4" t="s">
        <v>32</v>
      </c>
      <c r="J5" s="4" t="s">
        <v>33</v>
      </c>
      <c r="K5" s="4" t="s">
        <v>34</v>
      </c>
      <c r="L5" s="4" t="s">
        <v>35</v>
      </c>
      <c r="M5" s="4" t="s">
        <v>36</v>
      </c>
      <c r="N5" s="4" t="s">
        <v>37</v>
      </c>
      <c r="O5" s="4" t="s">
        <v>38</v>
      </c>
      <c r="P5" s="4" t="s">
        <v>39</v>
      </c>
      <c r="Q5" s="4" t="s">
        <v>40</v>
      </c>
      <c r="R5" s="9"/>
      <c r="S5" s="9"/>
      <c r="T5" s="9"/>
      <c r="U5" s="9"/>
      <c r="AR5" s="1"/>
      <c r="AS5" s="1"/>
      <c r="AT5" s="1"/>
      <c r="AU5" s="1"/>
      <c r="AV5" s="1"/>
      <c r="AW5" s="1"/>
      <c r="AX5" s="3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</row>
    <row r="6" spans="1:112" x14ac:dyDescent="0.3">
      <c r="A6" s="5"/>
      <c r="B6">
        <f t="shared" ref="B6:B21" si="0">ROW()-5</f>
        <v>1</v>
      </c>
      <c r="C6" s="7" t="s">
        <v>13</v>
      </c>
      <c r="D6" t="s">
        <v>0</v>
      </c>
      <c r="E6" t="s">
        <v>1</v>
      </c>
      <c r="F6">
        <v>10</v>
      </c>
      <c r="G6">
        <v>10</v>
      </c>
      <c r="H6">
        <v>10</v>
      </c>
      <c r="I6">
        <v>2</v>
      </c>
      <c r="J6">
        <v>1</v>
      </c>
      <c r="K6">
        <v>0.01</v>
      </c>
      <c r="L6" t="s">
        <v>2</v>
      </c>
      <c r="M6">
        <v>1</v>
      </c>
      <c r="N6">
        <v>200000</v>
      </c>
      <c r="O6">
        <v>0.3</v>
      </c>
      <c r="P6">
        <v>7.8500000000000008E-9</v>
      </c>
      <c r="Q6">
        <v>1</v>
      </c>
      <c r="R6" s="6"/>
      <c r="S6" s="6"/>
      <c r="T6" s="6"/>
      <c r="U6" s="6"/>
    </row>
    <row r="7" spans="1:112" x14ac:dyDescent="0.3">
      <c r="B7">
        <f t="shared" si="0"/>
        <v>2</v>
      </c>
      <c r="C7" s="7" t="s">
        <v>15</v>
      </c>
      <c r="D7" t="s">
        <v>0</v>
      </c>
      <c r="E7" t="s">
        <v>1</v>
      </c>
      <c r="F7">
        <v>10</v>
      </c>
      <c r="G7">
        <v>10</v>
      </c>
      <c r="H7">
        <v>10</v>
      </c>
      <c r="I7">
        <v>2</v>
      </c>
      <c r="J7">
        <v>1</v>
      </c>
      <c r="K7">
        <v>0.01</v>
      </c>
      <c r="L7" t="s">
        <v>3</v>
      </c>
      <c r="M7">
        <v>1</v>
      </c>
      <c r="N7">
        <v>200000</v>
      </c>
      <c r="O7">
        <v>0.3</v>
      </c>
      <c r="P7">
        <v>7.8500000000000008E-9</v>
      </c>
      <c r="Q7">
        <v>1</v>
      </c>
      <c r="R7" s="6"/>
      <c r="S7" s="6"/>
      <c r="T7" s="6"/>
      <c r="U7" s="6"/>
    </row>
    <row r="8" spans="1:112" x14ac:dyDescent="0.3">
      <c r="B8">
        <f t="shared" si="0"/>
        <v>3</v>
      </c>
      <c r="C8" s="7" t="s">
        <v>14</v>
      </c>
      <c r="D8" t="s">
        <v>7</v>
      </c>
      <c r="E8" t="s">
        <v>8</v>
      </c>
      <c r="F8">
        <v>10</v>
      </c>
      <c r="G8">
        <v>10</v>
      </c>
      <c r="H8">
        <v>10</v>
      </c>
      <c r="I8">
        <v>2</v>
      </c>
      <c r="J8">
        <v>1</v>
      </c>
      <c r="K8">
        <v>0.01</v>
      </c>
      <c r="L8" t="s">
        <v>4</v>
      </c>
      <c r="M8">
        <v>1</v>
      </c>
      <c r="N8">
        <v>200000</v>
      </c>
      <c r="O8">
        <v>0.3</v>
      </c>
      <c r="P8">
        <v>7.8500000000000008E-9</v>
      </c>
      <c r="Q8">
        <v>1</v>
      </c>
      <c r="R8" s="6"/>
      <c r="S8" s="6"/>
      <c r="T8" s="6"/>
      <c r="U8" s="6"/>
    </row>
    <row r="9" spans="1:112" x14ac:dyDescent="0.3">
      <c r="B9">
        <f t="shared" si="0"/>
        <v>4</v>
      </c>
      <c r="C9" s="7" t="s">
        <v>16</v>
      </c>
      <c r="D9" t="s">
        <v>7</v>
      </c>
      <c r="E9" t="s">
        <v>8</v>
      </c>
      <c r="F9">
        <v>10</v>
      </c>
      <c r="G9">
        <v>10</v>
      </c>
      <c r="H9">
        <v>10</v>
      </c>
      <c r="I9">
        <v>2</v>
      </c>
      <c r="J9">
        <v>1</v>
      </c>
      <c r="K9">
        <v>0.01</v>
      </c>
      <c r="L9" t="s">
        <v>10</v>
      </c>
      <c r="M9">
        <v>1</v>
      </c>
      <c r="N9">
        <v>200000</v>
      </c>
      <c r="O9">
        <v>0.3</v>
      </c>
      <c r="P9">
        <v>7.8500000000000008E-9</v>
      </c>
      <c r="Q9">
        <v>1</v>
      </c>
      <c r="R9" s="6"/>
      <c r="S9" s="6"/>
      <c r="T9" s="6"/>
      <c r="U9" s="6"/>
    </row>
    <row r="10" spans="1:112" x14ac:dyDescent="0.3">
      <c r="B10">
        <f t="shared" si="0"/>
        <v>5</v>
      </c>
      <c r="C10" s="7" t="s">
        <v>17</v>
      </c>
      <c r="D10" t="s">
        <v>0</v>
      </c>
      <c r="E10" t="s">
        <v>1</v>
      </c>
      <c r="F10">
        <v>10</v>
      </c>
      <c r="G10">
        <v>10</v>
      </c>
      <c r="H10">
        <v>10</v>
      </c>
      <c r="I10">
        <v>2</v>
      </c>
      <c r="J10">
        <v>1</v>
      </c>
      <c r="K10">
        <v>0.01</v>
      </c>
      <c r="L10" t="s">
        <v>11</v>
      </c>
      <c r="M10">
        <v>1</v>
      </c>
      <c r="N10">
        <v>200000</v>
      </c>
      <c r="O10">
        <v>0.3</v>
      </c>
      <c r="P10">
        <v>7.8500000000000008E-9</v>
      </c>
      <c r="Q10">
        <v>1</v>
      </c>
      <c r="R10" s="6"/>
      <c r="S10" s="6"/>
      <c r="T10" s="6"/>
      <c r="U10" s="6"/>
    </row>
    <row r="11" spans="1:112" x14ac:dyDescent="0.3">
      <c r="B11">
        <f t="shared" si="0"/>
        <v>6</v>
      </c>
      <c r="C11" s="7" t="s">
        <v>18</v>
      </c>
      <c r="D11" t="s">
        <v>0</v>
      </c>
      <c r="E11" t="s">
        <v>1</v>
      </c>
      <c r="F11">
        <v>10</v>
      </c>
      <c r="G11">
        <v>10</v>
      </c>
      <c r="H11">
        <v>10</v>
      </c>
      <c r="I11">
        <v>2</v>
      </c>
      <c r="J11">
        <v>1</v>
      </c>
      <c r="K11">
        <v>0.01</v>
      </c>
      <c r="L11" t="s">
        <v>9</v>
      </c>
      <c r="M11">
        <v>1</v>
      </c>
      <c r="N11">
        <v>200000</v>
      </c>
      <c r="O11">
        <v>0.3</v>
      </c>
      <c r="P11">
        <v>7.8500000000000008E-9</v>
      </c>
      <c r="Q11">
        <v>1</v>
      </c>
      <c r="R11" s="6"/>
      <c r="S11" s="6"/>
      <c r="T11" s="6"/>
      <c r="U11" s="6"/>
    </row>
    <row r="12" spans="1:112" x14ac:dyDescent="0.3">
      <c r="B12">
        <f t="shared" si="0"/>
        <v>7</v>
      </c>
      <c r="C12" s="7" t="s">
        <v>19</v>
      </c>
      <c r="D12" t="s">
        <v>0</v>
      </c>
      <c r="E12" t="s">
        <v>1</v>
      </c>
      <c r="F12">
        <v>10</v>
      </c>
      <c r="G12">
        <v>10</v>
      </c>
      <c r="H12">
        <v>10</v>
      </c>
      <c r="I12">
        <v>2</v>
      </c>
      <c r="J12">
        <v>1</v>
      </c>
      <c r="K12">
        <v>0.01</v>
      </c>
      <c r="L12" t="s">
        <v>5</v>
      </c>
      <c r="M12">
        <v>1</v>
      </c>
      <c r="N12">
        <v>200000</v>
      </c>
      <c r="O12">
        <v>0.3</v>
      </c>
      <c r="P12">
        <v>7.8500000000000008E-9</v>
      </c>
      <c r="Q12">
        <v>1</v>
      </c>
      <c r="R12" s="6"/>
      <c r="S12" s="6"/>
      <c r="T12" s="6"/>
      <c r="U12" s="6"/>
    </row>
    <row r="13" spans="1:112" x14ac:dyDescent="0.3">
      <c r="B13">
        <f t="shared" si="0"/>
        <v>8</v>
      </c>
      <c r="C13" s="7" t="s">
        <v>20</v>
      </c>
      <c r="D13" t="s">
        <v>0</v>
      </c>
      <c r="E13" t="s">
        <v>1</v>
      </c>
      <c r="F13">
        <v>10</v>
      </c>
      <c r="G13">
        <v>10</v>
      </c>
      <c r="H13">
        <v>10</v>
      </c>
      <c r="I13">
        <v>2</v>
      </c>
      <c r="J13">
        <v>1</v>
      </c>
      <c r="K13">
        <v>0.01</v>
      </c>
      <c r="L13" t="s">
        <v>6</v>
      </c>
      <c r="M13">
        <v>1</v>
      </c>
      <c r="N13">
        <v>200000</v>
      </c>
      <c r="O13">
        <v>0.3</v>
      </c>
      <c r="P13">
        <v>7.8500000000000008E-9</v>
      </c>
      <c r="Q13">
        <v>1</v>
      </c>
      <c r="R13" s="6"/>
      <c r="S13" s="6"/>
      <c r="T13" s="6"/>
      <c r="U13" s="6"/>
    </row>
    <row r="14" spans="1:112" x14ac:dyDescent="0.3">
      <c r="B14">
        <f t="shared" si="0"/>
        <v>9</v>
      </c>
      <c r="C14" s="7" t="s">
        <v>21</v>
      </c>
      <c r="D14" t="s">
        <v>12</v>
      </c>
      <c r="E14" t="s">
        <v>1</v>
      </c>
      <c r="F14">
        <v>10</v>
      </c>
      <c r="G14">
        <v>10</v>
      </c>
      <c r="H14">
        <v>10</v>
      </c>
      <c r="I14">
        <v>2</v>
      </c>
      <c r="J14">
        <v>1</v>
      </c>
      <c r="K14">
        <v>0.01</v>
      </c>
      <c r="L14" t="s">
        <v>2</v>
      </c>
      <c r="M14">
        <v>1</v>
      </c>
      <c r="N14">
        <v>200000</v>
      </c>
      <c r="O14">
        <v>0.3</v>
      </c>
      <c r="P14">
        <v>7.8500000000000008E-9</v>
      </c>
      <c r="Q14">
        <v>1</v>
      </c>
      <c r="R14" s="6"/>
      <c r="S14" s="6"/>
      <c r="T14" s="6"/>
      <c r="U14" s="6"/>
    </row>
    <row r="15" spans="1:112" x14ac:dyDescent="0.3">
      <c r="B15">
        <f t="shared" si="0"/>
        <v>10</v>
      </c>
      <c r="C15" s="7" t="s">
        <v>22</v>
      </c>
      <c r="D15" t="s">
        <v>12</v>
      </c>
      <c r="E15" t="s">
        <v>1</v>
      </c>
      <c r="F15">
        <v>10</v>
      </c>
      <c r="G15">
        <v>10</v>
      </c>
      <c r="H15">
        <v>10</v>
      </c>
      <c r="I15">
        <v>2</v>
      </c>
      <c r="J15">
        <v>1</v>
      </c>
      <c r="K15">
        <v>0.01</v>
      </c>
      <c r="L15" t="s">
        <v>3</v>
      </c>
      <c r="M15">
        <v>1</v>
      </c>
      <c r="N15">
        <v>200000</v>
      </c>
      <c r="O15">
        <v>0.3</v>
      </c>
      <c r="P15">
        <v>7.8500000000000008E-9</v>
      </c>
      <c r="Q15">
        <v>1</v>
      </c>
      <c r="R15" s="6"/>
      <c r="S15" s="6"/>
      <c r="T15" s="6"/>
      <c r="U15" s="6"/>
    </row>
    <row r="16" spans="1:112" x14ac:dyDescent="0.3">
      <c r="B16">
        <f t="shared" si="0"/>
        <v>11</v>
      </c>
      <c r="C16" s="7" t="s">
        <v>23</v>
      </c>
      <c r="D16" t="s">
        <v>12</v>
      </c>
      <c r="E16" t="s">
        <v>1</v>
      </c>
      <c r="F16">
        <v>10</v>
      </c>
      <c r="G16">
        <v>10</v>
      </c>
      <c r="H16">
        <v>10</v>
      </c>
      <c r="I16">
        <v>2</v>
      </c>
      <c r="J16">
        <v>1</v>
      </c>
      <c r="K16">
        <v>0.01</v>
      </c>
      <c r="L16" t="s">
        <v>4</v>
      </c>
      <c r="M16">
        <v>1</v>
      </c>
      <c r="N16">
        <v>200000</v>
      </c>
      <c r="O16">
        <v>0.3</v>
      </c>
      <c r="P16">
        <v>7.8500000000000008E-9</v>
      </c>
      <c r="Q16">
        <v>1</v>
      </c>
      <c r="R16" s="6"/>
      <c r="S16" s="6"/>
      <c r="T16" s="6"/>
      <c r="U16" s="6"/>
    </row>
    <row r="17" spans="2:21" x14ac:dyDescent="0.3">
      <c r="B17">
        <f t="shared" si="0"/>
        <v>12</v>
      </c>
      <c r="C17" s="7" t="s">
        <v>24</v>
      </c>
      <c r="D17" t="s">
        <v>12</v>
      </c>
      <c r="E17" t="s">
        <v>1</v>
      </c>
      <c r="F17">
        <v>10</v>
      </c>
      <c r="G17">
        <v>10</v>
      </c>
      <c r="H17">
        <v>10</v>
      </c>
      <c r="I17">
        <v>2</v>
      </c>
      <c r="J17">
        <v>1</v>
      </c>
      <c r="K17">
        <v>0.01</v>
      </c>
      <c r="L17" t="s">
        <v>10</v>
      </c>
      <c r="M17">
        <v>1</v>
      </c>
      <c r="N17">
        <v>200000</v>
      </c>
      <c r="O17">
        <v>0.3</v>
      </c>
      <c r="P17">
        <v>7.8500000000000008E-9</v>
      </c>
      <c r="Q17">
        <v>1</v>
      </c>
      <c r="R17" s="6"/>
      <c r="S17" s="6"/>
      <c r="T17" s="6"/>
      <c r="U17" s="6"/>
    </row>
    <row r="18" spans="2:21" x14ac:dyDescent="0.3">
      <c r="B18">
        <f t="shared" si="0"/>
        <v>13</v>
      </c>
      <c r="C18" s="7" t="s">
        <v>25</v>
      </c>
      <c r="D18" t="s">
        <v>12</v>
      </c>
      <c r="E18" t="s">
        <v>1</v>
      </c>
      <c r="F18">
        <v>10</v>
      </c>
      <c r="G18">
        <v>10</v>
      </c>
      <c r="H18">
        <v>10</v>
      </c>
      <c r="I18">
        <v>2</v>
      </c>
      <c r="J18">
        <v>1</v>
      </c>
      <c r="K18">
        <v>0.01</v>
      </c>
      <c r="L18" t="s">
        <v>11</v>
      </c>
      <c r="M18">
        <v>1</v>
      </c>
      <c r="N18">
        <v>200000</v>
      </c>
      <c r="O18">
        <v>0.3</v>
      </c>
      <c r="P18">
        <v>7.8500000000000008E-9</v>
      </c>
      <c r="Q18">
        <v>1</v>
      </c>
      <c r="R18" s="6"/>
      <c r="S18" s="6"/>
      <c r="T18" s="6"/>
      <c r="U18" s="6"/>
    </row>
    <row r="19" spans="2:21" x14ac:dyDescent="0.3">
      <c r="B19">
        <f t="shared" si="0"/>
        <v>14</v>
      </c>
      <c r="C19" s="7" t="s">
        <v>26</v>
      </c>
      <c r="D19" t="s">
        <v>12</v>
      </c>
      <c r="E19" t="s">
        <v>1</v>
      </c>
      <c r="F19">
        <v>10</v>
      </c>
      <c r="G19">
        <v>10</v>
      </c>
      <c r="H19">
        <v>10</v>
      </c>
      <c r="I19">
        <v>2</v>
      </c>
      <c r="J19">
        <v>1</v>
      </c>
      <c r="K19">
        <v>0.01</v>
      </c>
      <c r="L19" t="s">
        <v>9</v>
      </c>
      <c r="M19">
        <v>1</v>
      </c>
      <c r="N19">
        <v>200000</v>
      </c>
      <c r="O19">
        <v>0.3</v>
      </c>
      <c r="P19">
        <v>7.8500000000000008E-9</v>
      </c>
      <c r="Q19">
        <v>1</v>
      </c>
      <c r="R19" s="6"/>
      <c r="S19" s="6"/>
      <c r="T19" s="6"/>
      <c r="U19" s="6"/>
    </row>
    <row r="20" spans="2:21" ht="16.5" customHeight="1" x14ac:dyDescent="0.3">
      <c r="B20">
        <f t="shared" si="0"/>
        <v>15</v>
      </c>
      <c r="C20" s="7" t="s">
        <v>27</v>
      </c>
      <c r="D20" t="s">
        <v>12</v>
      </c>
      <c r="E20" t="s">
        <v>1</v>
      </c>
      <c r="F20">
        <v>10</v>
      </c>
      <c r="G20">
        <v>10</v>
      </c>
      <c r="H20">
        <v>10</v>
      </c>
      <c r="I20">
        <v>2</v>
      </c>
      <c r="J20">
        <v>1</v>
      </c>
      <c r="K20">
        <v>0.01</v>
      </c>
      <c r="L20" t="s">
        <v>5</v>
      </c>
      <c r="M20">
        <v>1</v>
      </c>
      <c r="N20">
        <v>200000</v>
      </c>
      <c r="O20">
        <v>0.3</v>
      </c>
      <c r="P20">
        <v>7.8500000000000008E-9</v>
      </c>
      <c r="Q20">
        <v>1</v>
      </c>
      <c r="R20" s="6"/>
      <c r="S20" s="6"/>
      <c r="T20" s="6"/>
      <c r="U20" s="6"/>
    </row>
    <row r="21" spans="2:21" x14ac:dyDescent="0.3">
      <c r="B21">
        <f t="shared" si="0"/>
        <v>16</v>
      </c>
      <c r="C21" s="7" t="s">
        <v>28</v>
      </c>
      <c r="D21" t="s">
        <v>12</v>
      </c>
      <c r="E21" t="s">
        <v>1</v>
      </c>
      <c r="F21">
        <v>10</v>
      </c>
      <c r="G21">
        <v>10</v>
      </c>
      <c r="H21">
        <v>10</v>
      </c>
      <c r="I21">
        <v>2</v>
      </c>
      <c r="J21">
        <v>1</v>
      </c>
      <c r="K21">
        <v>0.01</v>
      </c>
      <c r="L21" t="s">
        <v>6</v>
      </c>
      <c r="M21">
        <v>1</v>
      </c>
      <c r="N21">
        <v>200000</v>
      </c>
      <c r="O21">
        <v>0.3</v>
      </c>
      <c r="P21">
        <v>7.8500000000000008E-9</v>
      </c>
      <c r="Q21">
        <v>1</v>
      </c>
      <c r="R21" s="6"/>
      <c r="S21" s="6"/>
      <c r="T21" s="6"/>
      <c r="U21" s="6"/>
    </row>
    <row r="22" spans="2:21" x14ac:dyDescent="0.3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8"/>
    </row>
    <row r="78" spans="34:34" x14ac:dyDescent="0.3">
      <c r="AH78" s="2"/>
    </row>
  </sheetData>
  <protectedRanges>
    <protectedRange sqref="B6:U21" name="범위1"/>
  </protectedRanges>
  <phoneticPr fontId="1" type="noConversion"/>
  <conditionalFormatting sqref="AL7:AL21 AH22:AH110">
    <cfRule type="iconSet" priority="2">
      <iconSet iconSet="3Symbols" showValue="0">
        <cfvo type="percent" val="0"/>
        <cfvo type="num" val="0" gte="0"/>
        <cfvo type="num" val="3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ub_run_selected">
                <anchor moveWithCells="1" sizeWithCells="1">
                  <from>
                    <xdr:col>0</xdr:col>
                    <xdr:colOff>238125</xdr:colOff>
                    <xdr:row>0</xdr:row>
                    <xdr:rowOff>209550</xdr:rowOff>
                  </from>
                  <to>
                    <xdr:col>3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ub_run_all">
                <anchor moveWithCells="1" sizeWithCells="1">
                  <from>
                    <xdr:col>3</xdr:col>
                    <xdr:colOff>685800</xdr:colOff>
                    <xdr:row>0</xdr:row>
                    <xdr:rowOff>209550</xdr:rowOff>
                  </from>
                  <to>
                    <xdr:col>5</xdr:col>
                    <xdr:colOff>695325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ub_open_lattice_file">
                <anchor moveWithCells="1" sizeWithCells="1">
                  <from>
                    <xdr:col>9</xdr:col>
                    <xdr:colOff>695325</xdr:colOff>
                    <xdr:row>0</xdr:row>
                    <xdr:rowOff>209550</xdr:rowOff>
                  </from>
                  <to>
                    <xdr:col>11</xdr:col>
                    <xdr:colOff>714375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sub_open_results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ub_open_case_artifacts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61339-A6D6-4F5F-8C4C-593887644711}">
  <dimension ref="B2:X18"/>
  <sheetViews>
    <sheetView tabSelected="1" workbookViewId="0">
      <selection activeCell="C8" sqref="C8"/>
    </sheetView>
  </sheetViews>
  <sheetFormatPr defaultRowHeight="16.5" x14ac:dyDescent="0.3"/>
  <cols>
    <col min="1" max="1" width="3.125" customWidth="1"/>
  </cols>
  <sheetData>
    <row r="2" spans="2:24" ht="120.75" x14ac:dyDescent="0.3">
      <c r="B2" s="4" t="s">
        <v>29</v>
      </c>
      <c r="C2" s="4" t="s">
        <v>41</v>
      </c>
      <c r="D2" s="4" t="s">
        <v>45</v>
      </c>
      <c r="E2" s="4" t="s">
        <v>46</v>
      </c>
      <c r="F2" s="4" t="s">
        <v>47</v>
      </c>
      <c r="G2" s="4" t="s">
        <v>48</v>
      </c>
      <c r="H2" s="4" t="s">
        <v>49</v>
      </c>
      <c r="I2" s="4" t="s">
        <v>50</v>
      </c>
      <c r="J2" s="4" t="s">
        <v>51</v>
      </c>
      <c r="K2" s="4" t="s">
        <v>52</v>
      </c>
      <c r="L2" s="4" t="s">
        <v>53</v>
      </c>
      <c r="M2" s="4" t="s">
        <v>54</v>
      </c>
      <c r="N2" s="4" t="s">
        <v>55</v>
      </c>
      <c r="O2" s="4" t="s">
        <v>56</v>
      </c>
      <c r="P2" s="4" t="s">
        <v>57</v>
      </c>
      <c r="Q2" s="4" t="s">
        <v>58</v>
      </c>
      <c r="R2" s="4" t="s">
        <v>59</v>
      </c>
      <c r="S2" s="4" t="s">
        <v>60</v>
      </c>
      <c r="T2" s="4" t="s">
        <v>61</v>
      </c>
      <c r="U2" s="4" t="s">
        <v>62</v>
      </c>
      <c r="V2" s="4" t="s">
        <v>63</v>
      </c>
      <c r="W2" s="4" t="s">
        <v>64</v>
      </c>
      <c r="X2" s="4" t="s">
        <v>65</v>
      </c>
    </row>
    <row r="3" spans="2:24" x14ac:dyDescent="0.3">
      <c r="B3">
        <f t="shared" ref="B3:B18" si="0">ROW()-2</f>
        <v>1</v>
      </c>
      <c r="C3" s="7"/>
    </row>
    <row r="4" spans="2:24" x14ac:dyDescent="0.3">
      <c r="C4" s="7"/>
    </row>
    <row r="5" spans="2:24" x14ac:dyDescent="0.3">
      <c r="C5" s="7"/>
    </row>
    <row r="6" spans="2:24" x14ac:dyDescent="0.3">
      <c r="C6" s="7"/>
    </row>
    <row r="7" spans="2:24" x14ac:dyDescent="0.3">
      <c r="C7" s="7"/>
    </row>
    <row r="8" spans="2:24" x14ac:dyDescent="0.3">
      <c r="C8" s="7"/>
    </row>
    <row r="9" spans="2:24" x14ac:dyDescent="0.3">
      <c r="C9" s="7"/>
    </row>
    <row r="10" spans="2:24" x14ac:dyDescent="0.3">
      <c r="C10" s="7"/>
    </row>
    <row r="11" spans="2:24" x14ac:dyDescent="0.3">
      <c r="C11" s="7"/>
    </row>
    <row r="12" spans="2:24" x14ac:dyDescent="0.3">
      <c r="C12" s="7"/>
    </row>
    <row r="13" spans="2:24" x14ac:dyDescent="0.3">
      <c r="C13" s="7"/>
    </row>
    <row r="14" spans="2:24" x14ac:dyDescent="0.3">
      <c r="C14" s="7"/>
    </row>
    <row r="15" spans="2:24" x14ac:dyDescent="0.3">
      <c r="C15" s="7"/>
    </row>
    <row r="16" spans="2:24" x14ac:dyDescent="0.3">
      <c r="C16" s="7"/>
    </row>
    <row r="17" spans="3:3" x14ac:dyDescent="0.3">
      <c r="C17" s="7"/>
    </row>
    <row r="18" spans="3:3" x14ac:dyDescent="0.3">
      <c r="C18" s="7"/>
    </row>
  </sheetData>
  <protectedRanges>
    <protectedRange sqref="B3:C18" name="범위1"/>
  </protectedRanges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(대학원생) 김우진 (기계공학과)</dc:creator>
  <cp:lastModifiedBy>(대학원생) 김우진 (기계공학과)</cp:lastModifiedBy>
  <dcterms:created xsi:type="dcterms:W3CDTF">2026-04-09T09:34:20Z</dcterms:created>
  <dcterms:modified xsi:type="dcterms:W3CDTF">2026-05-14T07:43:40Z</dcterms:modified>
</cp:coreProperties>
</file>